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codeName="ThisWorkbook" defaultThemeVersion="166925"/>
  <mc:AlternateContent xmlns:mc="http://schemas.openxmlformats.org/markup-compatibility/2006">
    <mc:Choice Requires="x15">
      <x15ac:absPath xmlns:x15ac="http://schemas.microsoft.com/office/spreadsheetml/2010/11/ac" url="/Users/nishapd/Projects/PartnerValidationChecklists/assets/"/>
    </mc:Choice>
  </mc:AlternateContent>
  <xr:revisionPtr revIDLastSave="0" documentId="13_ncr:1_{D9976BBF-9DFB-7345-AF73-E24BF941C5B4}" xr6:coauthVersionLast="47" xr6:coauthVersionMax="47" xr10:uidLastSave="{00000000-0000-0000-0000-000000000000}"/>
  <bookViews>
    <workbookView xWindow="0" yWindow="600" windowWidth="38400" windowHeight="19200" xr2:uid="{00000000-000D-0000-FFFF-FFFF00000000}"/>
  </bookViews>
  <sheets>
    <sheet name="Introduction" sheetId="2" r:id="rId1"/>
    <sheet name="Partner Hosted FTR Requirements" sheetId="1" r:id="rId2"/>
    <sheet name="FTR Results Summary" sheetId="8" r:id="rId3"/>
    <sheet name="Explanation" sheetId="10" r:id="rId4"/>
    <sheet name="Supporting Information Required" sheetId="7" r:id="rId5"/>
  </sheets>
  <definedNames>
    <definedName name="_xlnm._FilterDatabase" localSheetId="2" hidden="1">'FTR Results Summary'!$A$5:$E$48</definedName>
    <definedName name="_xlnm._FilterDatabase" localSheetId="1" hidden="1">'Partner Hosted FTR Requirements'!#REF!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 i="1" l="1"/>
  <c r="E8" i="1"/>
  <c r="D79" i="1"/>
  <c r="E15" i="1" l="1"/>
  <c r="E7" i="1"/>
  <c r="D13" i="1" l="1"/>
  <c r="D100" i="1"/>
  <c r="E16" i="1" l="1"/>
  <c r="C13" i="1"/>
  <c r="D16" i="1"/>
  <c r="E81" i="1" l="1"/>
  <c r="E80" i="1" l="1"/>
  <c r="D93" i="1"/>
  <c r="E4" i="8"/>
  <c r="C4" i="8"/>
  <c r="D85" i="1"/>
  <c r="D98" i="1"/>
  <c r="D117" i="1"/>
  <c r="D150" i="1"/>
  <c r="E151" i="1" l="1"/>
  <c r="E156" i="1"/>
  <c r="E157" i="1"/>
  <c r="D155" i="1"/>
  <c r="E55" i="1" l="1"/>
  <c r="D54" i="1"/>
  <c r="C54" i="1" s="1"/>
  <c r="C15" i="8" s="1"/>
  <c r="E56" i="1"/>
  <c r="E26" i="1"/>
  <c r="E58" i="1"/>
  <c r="E57" i="1"/>
  <c r="D90" i="1"/>
  <c r="C90" i="1" s="1"/>
  <c r="C27" i="8" s="1"/>
  <c r="C36" i="1"/>
  <c r="C10" i="8" s="1"/>
  <c r="C155" i="1"/>
  <c r="C48" i="8" s="1"/>
  <c r="E115" i="1"/>
  <c r="E35" i="1"/>
  <c r="E27" i="1"/>
  <c r="E21" i="1"/>
  <c r="E6" i="8" s="1"/>
  <c r="D157" i="1"/>
  <c r="D63" i="1"/>
  <c r="C63" i="1" s="1"/>
  <c r="C18" i="8" s="1"/>
  <c r="C150" i="1"/>
  <c r="C47" i="8" s="1"/>
  <c r="D148" i="1"/>
  <c r="C148" i="1" s="1"/>
  <c r="C46" i="8" s="1"/>
  <c r="D146" i="1"/>
  <c r="C146" i="1" s="1"/>
  <c r="C45" i="8" s="1"/>
  <c r="D145" i="1"/>
  <c r="E145" i="1"/>
  <c r="D140" i="1"/>
  <c r="C140" i="1" s="1"/>
  <c r="C44" i="8" s="1"/>
  <c r="D138" i="1"/>
  <c r="C138" i="1" s="1"/>
  <c r="C43" i="8" s="1"/>
  <c r="D136" i="1"/>
  <c r="C136" i="1"/>
  <c r="C42" i="8" s="1"/>
  <c r="D134" i="1"/>
  <c r="C134" i="1" s="1"/>
  <c r="C41" i="8" s="1"/>
  <c r="D132" i="1"/>
  <c r="C132" i="1" s="1"/>
  <c r="C40" i="8" s="1"/>
  <c r="D130" i="1"/>
  <c r="C130" i="1" s="1"/>
  <c r="C39" i="8" s="1"/>
  <c r="D128" i="1"/>
  <c r="C128" i="1" s="1"/>
  <c r="C38" i="8" s="1"/>
  <c r="E141" i="1"/>
  <c r="E44" i="8" s="1"/>
  <c r="E139" i="1"/>
  <c r="E43" i="8" s="1"/>
  <c r="E137" i="1"/>
  <c r="E42" i="8" s="1"/>
  <c r="E135" i="1"/>
  <c r="E41" i="8" s="1"/>
  <c r="E133" i="1"/>
  <c r="E40" i="8" s="1"/>
  <c r="E131" i="1"/>
  <c r="E39" i="8" s="1"/>
  <c r="E129" i="1"/>
  <c r="E38" i="8" s="1"/>
  <c r="E127" i="1"/>
  <c r="D127" i="1"/>
  <c r="F127" i="1" s="1"/>
  <c r="D122" i="1"/>
  <c r="C122" i="1" s="1"/>
  <c r="C37" i="8" s="1"/>
  <c r="D114" i="1"/>
  <c r="C114" i="1" s="1"/>
  <c r="C35" i="8" s="1"/>
  <c r="E116" i="1"/>
  <c r="E66" i="1"/>
  <c r="D116" i="1"/>
  <c r="C100" i="1"/>
  <c r="C30" i="8" s="1"/>
  <c r="E102" i="1"/>
  <c r="D102" i="1"/>
  <c r="E86" i="1"/>
  <c r="C79" i="1"/>
  <c r="C25" i="8" s="1"/>
  <c r="D75" i="1"/>
  <c r="C75" i="1" s="1"/>
  <c r="C23" i="8" s="1"/>
  <c r="D73" i="1"/>
  <c r="C73" i="1" s="1"/>
  <c r="C22" i="8" s="1"/>
  <c r="C28" i="1"/>
  <c r="C8" i="8" s="1"/>
  <c r="D25" i="1"/>
  <c r="C25" i="1" s="1"/>
  <c r="C7" i="8" s="1"/>
  <c r="D77" i="1"/>
  <c r="C77" i="1" s="1"/>
  <c r="C24" i="8" s="1"/>
  <c r="D71" i="1"/>
  <c r="C71" i="1"/>
  <c r="C21" i="8" s="1"/>
  <c r="D69" i="1"/>
  <c r="C69" i="1" s="1"/>
  <c r="C20" i="8" s="1"/>
  <c r="D67" i="1"/>
  <c r="C67" i="1"/>
  <c r="C19" i="8" s="1"/>
  <c r="D59" i="1"/>
  <c r="C59" i="1"/>
  <c r="C16" i="8" s="1"/>
  <c r="D52" i="1"/>
  <c r="C52" i="1" s="1"/>
  <c r="C14" i="8" s="1"/>
  <c r="D38" i="1"/>
  <c r="D36" i="1"/>
  <c r="D35" i="1"/>
  <c r="D53" i="1"/>
  <c r="E37" i="1"/>
  <c r="E10" i="8" s="1"/>
  <c r="E14" i="1"/>
  <c r="E5" i="8" s="1"/>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0" i="8"/>
  <c r="D9" i="8"/>
  <c r="D8" i="8"/>
  <c r="D7" i="8"/>
  <c r="C45" i="1"/>
  <c r="C13" i="8" s="1"/>
  <c r="C43" i="1"/>
  <c r="C12" i="8" s="1"/>
  <c r="C38" i="1"/>
  <c r="C11" i="8" s="1"/>
  <c r="D112" i="1"/>
  <c r="C112" i="1"/>
  <c r="C34" i="8" s="1"/>
  <c r="D61" i="1"/>
  <c r="C61" i="1" s="1"/>
  <c r="C17" i="8" s="1"/>
  <c r="D37" i="1"/>
  <c r="D28" i="1"/>
  <c r="E29" i="1"/>
  <c r="E8" i="8" s="1"/>
  <c r="D29" i="1"/>
  <c r="E74" i="1"/>
  <c r="E22" i="8" s="1"/>
  <c r="D151" i="1"/>
  <c r="D149" i="1"/>
  <c r="D123" i="1"/>
  <c r="F123" i="1" s="1"/>
  <c r="D113" i="1"/>
  <c r="D76" i="1"/>
  <c r="E76" i="1"/>
  <c r="E23" i="8" s="1"/>
  <c r="D62" i="1"/>
  <c r="E62" i="1"/>
  <c r="E17" i="8" s="1"/>
  <c r="D55" i="1"/>
  <c r="D26" i="1"/>
  <c r="D21" i="1"/>
  <c r="E47" i="8"/>
  <c r="E149" i="1"/>
  <c r="E46" i="8" s="1"/>
  <c r="E123" i="1"/>
  <c r="E37" i="8" s="1"/>
  <c r="E113" i="1"/>
  <c r="E34" i="8" s="1"/>
  <c r="E53" i="1"/>
  <c r="E14" i="8" s="1"/>
  <c r="D45" i="1"/>
  <c r="E46" i="1"/>
  <c r="E13" i="8" s="1"/>
  <c r="D43" i="1"/>
  <c r="E92" i="1"/>
  <c r="D92" i="1"/>
  <c r="E91" i="1"/>
  <c r="D91" i="1"/>
  <c r="D156" i="1"/>
  <c r="E147" i="1"/>
  <c r="E45" i="8" s="1"/>
  <c r="D147" i="1"/>
  <c r="D141" i="1"/>
  <c r="F141" i="1" s="1"/>
  <c r="D139" i="1"/>
  <c r="F139" i="1" s="1"/>
  <c r="D137" i="1"/>
  <c r="F137" i="1" s="1"/>
  <c r="D135" i="1"/>
  <c r="F135" i="1" s="1"/>
  <c r="D133" i="1"/>
  <c r="F133" i="1" s="1"/>
  <c r="D131" i="1"/>
  <c r="F131" i="1" s="1"/>
  <c r="D129" i="1"/>
  <c r="F129" i="1" s="1"/>
  <c r="E118" i="1"/>
  <c r="C117" i="1" s="1"/>
  <c r="C36" i="8" s="1"/>
  <c r="D118" i="1"/>
  <c r="D115" i="1"/>
  <c r="E111" i="1"/>
  <c r="E33" i="8" s="1"/>
  <c r="D111" i="1"/>
  <c r="F111" i="1" s="1"/>
  <c r="D107" i="1"/>
  <c r="E107" i="1"/>
  <c r="E31" i="8" s="1"/>
  <c r="E109" i="1"/>
  <c r="D108" i="1" s="1"/>
  <c r="C108" i="1" s="1"/>
  <c r="C32" i="8" s="1"/>
  <c r="D109" i="1"/>
  <c r="E101" i="1"/>
  <c r="E99" i="1"/>
  <c r="C98" i="1" s="1"/>
  <c r="C29" i="8" s="1"/>
  <c r="D101" i="1"/>
  <c r="E94" i="1"/>
  <c r="C93" i="1" s="1"/>
  <c r="C28" i="8" s="1"/>
  <c r="E25" i="8"/>
  <c r="E78" i="1"/>
  <c r="E24" i="8" s="1"/>
  <c r="E72" i="1"/>
  <c r="E21" i="8" s="1"/>
  <c r="E70" i="1"/>
  <c r="E20" i="8" s="1"/>
  <c r="E68" i="1"/>
  <c r="E19" i="8" s="1"/>
  <c r="E64" i="1"/>
  <c r="E44" i="1"/>
  <c r="E12" i="8" s="1"/>
  <c r="D44" i="1"/>
  <c r="E39" i="1"/>
  <c r="E11" i="8" s="1"/>
  <c r="D99" i="1"/>
  <c r="D94" i="1"/>
  <c r="D86" i="1"/>
  <c r="D80" i="1"/>
  <c r="D78" i="1"/>
  <c r="D72" i="1"/>
  <c r="D70" i="1"/>
  <c r="D68" i="1"/>
  <c r="D64" i="1"/>
  <c r="D46" i="1"/>
  <c r="D39" i="1"/>
  <c r="D60" i="1"/>
  <c r="E60" i="1"/>
  <c r="E16" i="8" s="1"/>
  <c r="D14" i="1"/>
  <c r="E18" i="8" l="1"/>
  <c r="D34" i="1"/>
  <c r="C34" i="1" s="1"/>
  <c r="C9" i="8" s="1"/>
  <c r="E26" i="8"/>
  <c r="C85" i="1"/>
  <c r="C26" i="8" s="1"/>
  <c r="E30" i="8"/>
  <c r="E32" i="8"/>
  <c r="D106" i="1"/>
  <c r="C106" i="1" s="1"/>
  <c r="C31" i="8" s="1"/>
  <c r="D110" i="1"/>
  <c r="C110" i="1" s="1"/>
  <c r="C33" i="8" s="1"/>
  <c r="E35" i="8"/>
  <c r="E9" i="8"/>
  <c r="E36" i="8"/>
  <c r="E7" i="8"/>
  <c r="E48" i="8"/>
  <c r="E29" i="8"/>
  <c r="E28" i="8"/>
  <c r="E27" i="8"/>
  <c r="E15" i="8"/>
  <c r="D20" i="1" l="1"/>
  <c r="D6" i="8"/>
  <c r="C20" i="1" l="1"/>
  <c r="C6" i="8" s="1"/>
  <c r="B4" i="1"/>
  <c r="E4" i="1"/>
  <c r="D5" i="8"/>
  <c r="B2" i="1" l="1"/>
  <c r="C5" i="8"/>
</calcChain>
</file>

<file path=xl/sharedStrings.xml><?xml version="1.0" encoding="utf-8"?>
<sst xmlns="http://schemas.openxmlformats.org/spreadsheetml/2006/main" count="1046" uniqueCount="678">
  <si>
    <t>ID</t>
  </si>
  <si>
    <t>Requirement Description</t>
  </si>
  <si>
    <t>Partner Hosted</t>
  </si>
  <si>
    <t>HOST-001</t>
  </si>
  <si>
    <t>Support Level</t>
  </si>
  <si>
    <t>SUP-001</t>
  </si>
  <si>
    <t>Architecture Review</t>
  </si>
  <si>
    <t>WAFR-001</t>
  </si>
  <si>
    <t xml:space="preserve">These requirements apply only if you have a password set for your root users. If you are using AWS Organizations to create AWS accounts and don’t request root user passwords, these requirements don’t apply.
</t>
  </si>
  <si>
    <t>ARC-001</t>
  </si>
  <si>
    <t>ARC-003</t>
  </si>
  <si>
    <t>ARC-005</t>
  </si>
  <si>
    <t>Met? (Yes/No/NA)</t>
  </si>
  <si>
    <t>Approval Requirements</t>
  </si>
  <si>
    <t>Communications from AWS</t>
  </si>
  <si>
    <t>ACOM-001</t>
  </si>
  <si>
    <t>ACOM-002</t>
  </si>
  <si>
    <r>
      <rPr>
        <b/>
        <sz val="11"/>
        <color indexed="8"/>
        <rFont val="Calibri"/>
        <family val="2"/>
      </rPr>
      <t xml:space="preserve">Set account contact information including the root user email address to email addresses and phone numbers owned by your company.
</t>
    </r>
    <r>
      <rPr>
        <sz val="11"/>
        <color indexed="8"/>
        <rFont val="Calibri"/>
        <family val="2"/>
      </rPr>
      <t xml:space="preserve"> 
Using company owned email addresses and phone numbers for contact information enables you to access them even if the individuals whom they belong to are no longer with your organization. 
</t>
    </r>
  </si>
  <si>
    <t>Identity and Access Management</t>
  </si>
  <si>
    <t xml:space="preserve">The requirements in this section pertain to how you manage identities and access for your solution. This includes both AWS Identity and Access Management (IAM) resources as well as other identity providers and access mechanisms (e.g. access management for end users of your product, handing of database credentials, intra-service access control, etc.)
</t>
  </si>
  <si>
    <t>IAM-001</t>
  </si>
  <si>
    <t>IAM-002</t>
  </si>
  <si>
    <t>IAM-003</t>
  </si>
  <si>
    <t>IAM-004</t>
  </si>
  <si>
    <t>IAM-005</t>
  </si>
  <si>
    <t>IAM-006</t>
  </si>
  <si>
    <t>IAM-007</t>
  </si>
  <si>
    <r>
      <rPr>
        <b/>
        <sz val="11"/>
        <color indexed="8"/>
        <rFont val="Calibri"/>
        <family val="2"/>
      </rPr>
      <t xml:space="preserve">Manage access based on life cycle.
</t>
    </r>
    <r>
      <rPr>
        <sz val="11"/>
        <color indexed="8"/>
        <rFont val="Calibri"/>
        <family val="2"/>
      </rPr>
      <t xml:space="preserve"> 
Integrate access controls with operator and application lifecycle and your centralized federation provider and IAM. For example, remove a user’s access when they leave the organization or change roles.
</t>
    </r>
  </si>
  <si>
    <t>IAM-008</t>
  </si>
  <si>
    <t>IAM-009</t>
  </si>
  <si>
    <t>IAM-010</t>
  </si>
  <si>
    <t>IAM-011</t>
  </si>
  <si>
    <t>IAM-012</t>
  </si>
  <si>
    <t>Operational Security</t>
  </si>
  <si>
    <t>SECOPS-001</t>
  </si>
  <si>
    <t>Network Security</t>
  </si>
  <si>
    <t>NETSEC-001</t>
  </si>
  <si>
    <t>NETSEC-002</t>
  </si>
  <si>
    <t>Backups and Recovery</t>
  </si>
  <si>
    <t>BAR-001</t>
  </si>
  <si>
    <t>BAR-002</t>
  </si>
  <si>
    <t>Resiliency</t>
  </si>
  <si>
    <t>RES-001</t>
  </si>
  <si>
    <t>RES-002</t>
  </si>
  <si>
    <t>RES-004</t>
  </si>
  <si>
    <t>RES-005</t>
  </si>
  <si>
    <t>RES-006</t>
  </si>
  <si>
    <t>RES-007</t>
  </si>
  <si>
    <t>Amazon S3 Bucket Access</t>
  </si>
  <si>
    <t>S3-001</t>
  </si>
  <si>
    <t>Cross-Account Access</t>
  </si>
  <si>
    <t>CAA-001</t>
  </si>
  <si>
    <t>CAA-007</t>
  </si>
  <si>
    <t>CAA-002</t>
  </si>
  <si>
    <t>CAA-004</t>
  </si>
  <si>
    <t>CAA-005</t>
  </si>
  <si>
    <t>CAA-006</t>
  </si>
  <si>
    <t>CAA-003</t>
  </si>
  <si>
    <t>Sensitive Data</t>
  </si>
  <si>
    <t>SDAT-001</t>
  </si>
  <si>
    <t>SDAT-002</t>
  </si>
  <si>
    <r>
      <rPr>
        <b/>
        <sz val="11"/>
        <color indexed="8"/>
        <rFont val="Calibri"/>
        <family val="2"/>
      </rPr>
      <t xml:space="preserve">Encrypt all sensitive data at rest.
</t>
    </r>
    <r>
      <rPr>
        <sz val="11"/>
        <color indexed="8"/>
        <rFont val="Calibri"/>
        <family val="2"/>
      </rPr>
      <t xml:space="preserve"> 
Encryption maintains the confidentiality of sensitive data even when it gets stolen or the network through which it is transmitted becomes compromised.
</t>
    </r>
  </si>
  <si>
    <t>SDAT-003</t>
  </si>
  <si>
    <r>
      <rPr>
        <b/>
        <sz val="11"/>
        <color indexed="8"/>
        <rFont val="Calibri"/>
        <family val="2"/>
      </rPr>
      <t xml:space="preserve">Only use protocols with encryption when transmitting sensitive data outside of your VPC. 
</t>
    </r>
    <r>
      <rPr>
        <sz val="11"/>
        <color indexed="8"/>
        <rFont val="Calibri"/>
        <family val="2"/>
      </rPr>
      <t xml:space="preserve"> 
Encryption maintains data confidentiality even when the network through which it is transmitted becomes compromised.
</t>
    </r>
  </si>
  <si>
    <t>Regulatory Compliance Validation Process</t>
  </si>
  <si>
    <t>RCVP-001</t>
  </si>
  <si>
    <t>HOST-001.1</t>
  </si>
  <si>
    <t>Yes</t>
  </si>
  <si>
    <t>SUP-001.1</t>
  </si>
  <si>
    <t>Is your support tier Business or higher on all productions AWS accounts?</t>
  </si>
  <si>
    <t>WAFR-001.1</t>
  </si>
  <si>
    <t>ARC-001.1</t>
  </si>
  <si>
    <t>ARC-003.1</t>
  </si>
  <si>
    <t>FTR Resources</t>
  </si>
  <si>
    <t>ACOM-001.1</t>
  </si>
  <si>
    <t>ACOM-002.1</t>
  </si>
  <si>
    <t>IAM-001.1</t>
  </si>
  <si>
    <t>IAM-002.1</t>
  </si>
  <si>
    <t>IAM-003.1</t>
  </si>
  <si>
    <t>IAM-004.1</t>
  </si>
  <si>
    <t>IAM-005.1</t>
  </si>
  <si>
    <t>IAM-006.1</t>
  </si>
  <si>
    <t>IAM-007.1</t>
  </si>
  <si>
    <t>FTR Percent Complete</t>
  </si>
  <si>
    <t>Remediations steps if no</t>
  </si>
  <si>
    <t>Follow-ups if yes</t>
  </si>
  <si>
    <t>Controls ID</t>
  </si>
  <si>
    <t>IAM-008.1</t>
  </si>
  <si>
    <t>IAM-009.1</t>
  </si>
  <si>
    <t>IAM-010.1</t>
  </si>
  <si>
    <t>IAM-011.1</t>
  </si>
  <si>
    <t>IAM-012.1</t>
  </si>
  <si>
    <t>SECOPS-001.1</t>
  </si>
  <si>
    <t>NETSEC-001.1</t>
  </si>
  <si>
    <t>NETSEC-002.1</t>
  </si>
  <si>
    <t>BAR-001.1</t>
  </si>
  <si>
    <t>BAR-002.1</t>
  </si>
  <si>
    <t>RES-001.1</t>
  </si>
  <si>
    <t>RES-002.1</t>
  </si>
  <si>
    <t>RES-004.1</t>
  </si>
  <si>
    <t>RES-005.1</t>
  </si>
  <si>
    <t>RES-006.1</t>
  </si>
  <si>
    <t>S3-001.1</t>
  </si>
  <si>
    <t>CAA-001.1</t>
  </si>
  <si>
    <t>CAA-007.1</t>
  </si>
  <si>
    <t>CAA-002.1</t>
  </si>
  <si>
    <t>CAA-004.1</t>
  </si>
  <si>
    <t>CAA-005.1</t>
  </si>
  <si>
    <t>CAA-006.1</t>
  </si>
  <si>
    <t>CAA-003.1</t>
  </si>
  <si>
    <t>SDAT-001.1</t>
  </si>
  <si>
    <t>SDAT-002.1</t>
  </si>
  <si>
    <t>SDAT-003.1</t>
  </si>
  <si>
    <t>RCVP-001.1</t>
  </si>
  <si>
    <t>IAM-005.2</t>
  </si>
  <si>
    <t>NETSEC-001.2</t>
  </si>
  <si>
    <t>NETSEC-001.3</t>
  </si>
  <si>
    <t>Does the default security group restrict all traffic?</t>
  </si>
  <si>
    <t>Do you perform periodic recovery of the data?</t>
  </si>
  <si>
    <t>Role</t>
  </si>
  <si>
    <t>Partner Response</t>
  </si>
  <si>
    <t xml:space="preserve">Please enable MFA for all human identities with AWS access before submitting the FTR. </t>
  </si>
  <si>
    <t>Please implement credentials rotation to at least every 90 days before submitting the FTR.</t>
  </si>
  <si>
    <t xml:space="preserve">Please enforce a strong password policy with all the listed requirements before submitting the FTR. </t>
  </si>
  <si>
    <t>Please delete all shared credentials before submitting the FTR.</t>
  </si>
  <si>
    <t>Please change your process and use IAM roles and its temporary security credentials to provide access to 3rd parties before submitting the FTR.</t>
  </si>
  <si>
    <t>Please implement the least priviledge access while granting access to users before submitting the FTR.</t>
  </si>
  <si>
    <t>Please encrypt all end user credentials at rest and hash passwords before submitting the FTR.</t>
  </si>
  <si>
    <t>Please set your default security group to restrict all traffic before submitting the FTR.</t>
  </si>
  <si>
    <t>Please define an RPO according to your organizational needs before submitting the FTR.</t>
  </si>
  <si>
    <t>Please define an RTO according to your organizational needs before submitting the FTR.</t>
  </si>
  <si>
    <t>Please implement a process to communicate to customers their responsibility for backup, recovery, and availability before submitting the FTR.</t>
  </si>
  <si>
    <t>Please define a customer communication plan for outages before submitting the FTR.</t>
  </si>
  <si>
    <t>Please implement the usage of external ID with cross-account roles to access customer accounts before submitting the FTR.</t>
  </si>
  <si>
    <t>Please implement the usage of a value you generate (not something provided by the customer) for the external ID before submitting the FTR.</t>
  </si>
  <si>
    <t>Please ensure all external IDs are unique before submitting the FTR.</t>
  </si>
  <si>
    <t>Please provide read-only access to external ID to customers before submitting the FTR.</t>
  </si>
  <si>
    <t xml:space="preserve">Please deprecate any historical use of customer-provided IAM credentials before submitting the FTR. </t>
  </si>
  <si>
    <t>Please encrypt all sensitive data at rest before submitting the FTR.</t>
  </si>
  <si>
    <t>Pass / Fail / Further Review</t>
  </si>
  <si>
    <t>Provisional FTR Outcome</t>
  </si>
  <si>
    <t>Follow-ups if NA</t>
  </si>
  <si>
    <t>Security groups should not allow ingress from 0.0.0.0/0 to port 22 or 3389. Please update the security groups rules before submitting the FTR.</t>
  </si>
  <si>
    <t>Please explain why this control doesn't apply to your solution in the partner response cell (F32).</t>
  </si>
  <si>
    <t>Please explain why this control doesn't apply to your solution in the partner response cell (F39).</t>
  </si>
  <si>
    <t>Please explain why this control doesn't apply to your solution in the partner response cell (F41).</t>
  </si>
  <si>
    <t>Please explain why this control doesn't apply to your solution in the partner response cell (F62).</t>
  </si>
  <si>
    <t>Please explain why this control doesn't apply to your solution in the partner response cell (F64).</t>
  </si>
  <si>
    <t>Please explain why this control doesn't apply to your solution in the partner response cell (F66).</t>
  </si>
  <si>
    <t>Please explain why this control doesn't apply to your solution in the partner response cell (F68).</t>
  </si>
  <si>
    <t>Please explain why this control doesn't apply to your solution in the partner response cell (F70).</t>
  </si>
  <si>
    <t>Please explain why this control doesn't apply to your solution in the partner response cell (F78).</t>
  </si>
  <si>
    <t>Please explain why this control doesn't apply to your solution  in the partner response cell (F87).</t>
  </si>
  <si>
    <t>Please explain why this control doesn't apply to your solution  in the partner response cell (F92).</t>
  </si>
  <si>
    <t>Please explain why this control doesn't apply to your solution  in the partner response cell (F94).</t>
  </si>
  <si>
    <t>Please explain why this control doesn't apply to your solution  in the partner response cell (F99).</t>
  </si>
  <si>
    <t>Please explain why this control doesn't apply to your solution  in the partner response cell (F101).</t>
  </si>
  <si>
    <t>Please explain why this control doesn't apply to your solution  in the partner response cell (F103).</t>
  </si>
  <si>
    <t>Please explain why this control doesn't apply to your solution  in the partner response cell (F105).</t>
  </si>
  <si>
    <t>Please explain why this control doesn't apply to your solution  in the partner response cell (F107).</t>
  </si>
  <si>
    <t>Please explain why this control doesn't apply to your solution  in the partner response cell (F109).</t>
  </si>
  <si>
    <t>Please explain why this control doesn't apply to your solution  in the partner response cell (F114).</t>
  </si>
  <si>
    <t>Please explain why this control doesn't apply to your solution  in the partner response cell (F123).</t>
  </si>
  <si>
    <t>Please explain why this control doesn't apply to your solution  in the partner response cell (F125).</t>
  </si>
  <si>
    <t>Please explain why this control doesn't apply to your solution  in the partner response cell (F127).</t>
  </si>
  <si>
    <t>Please explain why this control doesn't apply to your solution  in the partner response cell (F129).</t>
  </si>
  <si>
    <t>Please explain why this control doesn't apply to your solution in the partner response cell (F131).</t>
  </si>
  <si>
    <t>Please explain why this control doesn't apply to your solution in the partner response cell (F133).</t>
  </si>
  <si>
    <t>Please explain why this control doesn't apply to your solution in the partner response cell (F135).</t>
  </si>
  <si>
    <t>Please explain why this control doesn't apply to your solution  in the partner response cell (F140).</t>
  </si>
  <si>
    <t>Please explain why this control doesn't apply to your solution  in the partner response cell (F142).</t>
  </si>
  <si>
    <t>Please explain why this control doesn't apply to your solution  in the partner response cell (F144).</t>
  </si>
  <si>
    <t>Please explain why this control doesn't apply to your solution in the partner response cell (F149).</t>
  </si>
  <si>
    <t>AWS root account</t>
  </si>
  <si>
    <t xml:space="preserve">The requirements in this section pertain to how you manage identities and access for your solution. This includes both AWS Identity and Access Management (IAM) resources as well as other identity providers and access mechanisms (for example, access management for end users of your product, handing of database credentials, and intra-service access control.)
</t>
  </si>
  <si>
    <t>Operational security</t>
  </si>
  <si>
    <r>
      <rPr>
        <b/>
        <sz val="11"/>
        <color indexed="8"/>
        <rFont val="Calibri"/>
        <family val="2"/>
      </rPr>
      <t>Create individual identities (no shared credentials) for anyone who needs AWS access.</t>
    </r>
    <r>
      <rPr>
        <sz val="11"/>
        <color indexed="8"/>
        <rFont val="Calibri"/>
        <family val="2"/>
      </rPr>
      <t xml:space="preserve"> 
Create individual entities and give unique security credentials and permissions to each user accessing your account. With individual entities and no shared credentials, you can audit the activity of each user.  
</t>
    </r>
  </si>
  <si>
    <r>
      <rPr>
        <b/>
        <sz val="11"/>
        <color indexed="8"/>
        <rFont val="Calibri"/>
        <family val="2"/>
      </rPr>
      <t xml:space="preserve">Do not embed credentials in application code.
</t>
    </r>
    <r>
      <rPr>
        <sz val="11"/>
        <color indexed="8"/>
        <rFont val="Calibri"/>
        <family val="2"/>
      </rPr>
      <t xml:space="preserve"> 
Ensure that all credentials used by your applications (for example, IAM access keys and database passwords) are never included in your application's source code or committed to source control in any way.
</t>
    </r>
  </si>
  <si>
    <r>
      <rPr>
        <b/>
        <sz val="11"/>
        <color indexed="8"/>
        <rFont val="Calibri"/>
        <family val="2"/>
      </rPr>
      <t xml:space="preserve">Encrypt all end user/customer credentials and hash passwords at rest.
</t>
    </r>
    <r>
      <rPr>
        <sz val="11"/>
        <color indexed="8"/>
        <rFont val="Calibri"/>
        <family val="2"/>
      </rPr>
      <t xml:space="preserve"> 
If you are storing end user/customer credentials in a database that you manage, encrypt credentials at rest and hash passwords. As an alternative, AWS recommends using a user-identity synchronization service, such as Amazon Cognito or an equivalent AWS Partner solution.
</t>
    </r>
  </si>
  <si>
    <t>Backups and recovery</t>
  </si>
  <si>
    <r>
      <rPr>
        <b/>
        <sz val="11"/>
        <color indexed="8"/>
        <rFont val="Calibri"/>
        <family val="2"/>
      </rPr>
      <t>Restrict resources in public subnets.</t>
    </r>
    <r>
      <rPr>
        <sz val="11"/>
        <color indexed="8"/>
        <rFont val="Calibri"/>
        <family val="2"/>
      </rPr>
      <t xml:space="preserve"> 
Do not place resources in public subnets of your VPC unless they must receive network traffic from public sources. Public subnets are subnets associated with a route table that has a route to an internet gateway.
</t>
    </r>
  </si>
  <si>
    <r>
      <rPr>
        <b/>
        <sz val="11"/>
        <color indexed="8"/>
        <rFont val="Calibri"/>
        <family val="2"/>
      </rPr>
      <t xml:space="preserve">Communicate customer responsibilities for resilience.
</t>
    </r>
    <r>
      <rPr>
        <sz val="11"/>
        <color indexed="8"/>
        <rFont val="Calibri"/>
        <family val="2"/>
      </rPr>
      <t xml:space="preserve"> 
Clearly define your customers’ responsibility for backup, recovery, and availability. At a minimum, your product documentation or customer agreements should cover the following:
  * Responsibility the customer has for backing up the data stored in your solution.
  * Instructions for backing up data or configuring optional features in your product for data protection, if applicable.
  * Options customers have for configuring the availability of your product.
</t>
    </r>
  </si>
  <si>
    <r>
      <rPr>
        <b/>
        <sz val="11"/>
        <color indexed="8"/>
        <rFont val="Calibri"/>
        <family val="2"/>
      </rPr>
      <t xml:space="preserve">Architect your product to meet availability targets and uptime service level agreements (SLAs).
</t>
    </r>
    <r>
      <rPr>
        <sz val="11"/>
        <color indexed="8"/>
        <rFont val="Calibri"/>
        <family val="2"/>
      </rPr>
      <t xml:space="preserve"> 
If you publish or privately agree to availability targets or uptime SLAs, ensure that your architecture and operational processes are designed to support them. Additionally, provide clear guidance to customers on any configuration required to achieve the targets or SLAs.
</t>
    </r>
  </si>
  <si>
    <r>
      <rPr>
        <b/>
        <sz val="11"/>
        <color indexed="8"/>
        <rFont val="Calibri"/>
        <family val="2"/>
      </rPr>
      <t xml:space="preserve">Define a customer communication plan for outages.
</t>
    </r>
    <r>
      <rPr>
        <sz val="11"/>
        <color indexed="8"/>
        <rFont val="Calibri"/>
        <family val="2"/>
      </rPr>
      <t xml:space="preserve"> 
Establish a plan for communicating information about system outages to your customers both during and after incidents. Your communication should not include any data that was provided by AWS under a non-disclosure agreement (NDA).
</t>
    </r>
  </si>
  <si>
    <t>Amazon S3 bucket access</t>
  </si>
  <si>
    <t>Cross-account access</t>
  </si>
  <si>
    <r>
      <rPr>
        <b/>
        <sz val="11"/>
        <color indexed="8"/>
        <rFont val="Calibri"/>
        <family val="2"/>
      </rPr>
      <t xml:space="preserve">Provide read-only access to external ID to customers.
</t>
    </r>
    <r>
      <rPr>
        <sz val="11"/>
        <color indexed="8"/>
        <rFont val="Calibri"/>
        <family val="2"/>
      </rPr>
      <t xml:space="preserve"> 
Customers must not be able to set or influence external IDs. When the external ID is editable, it is possible for one customer to impersonate the configuration of another.  For example, when the external ID is editable, customer A can create a cross account role setup using customer B’s role ARN and external ID, granting customer A access to customer B’s data.  Remediation of this item involves making the external ID a view-only field, ensuring that the external ID cannot be changed to impersonate the setup of another customer.
</t>
    </r>
  </si>
  <si>
    <r>
      <rPr>
        <b/>
        <sz val="11"/>
        <color indexed="8"/>
        <rFont val="Calibri"/>
        <family val="2"/>
      </rPr>
      <t xml:space="preserve">Identify sensitive data (for example, Personally Identifiable Information (PII) and Protected Health Information (PHI)).
</t>
    </r>
    <r>
      <rPr>
        <sz val="11"/>
        <color indexed="8"/>
        <rFont val="Calibri"/>
        <family val="2"/>
      </rPr>
      <t xml:space="preserve"> 
Data classification enables you to determine which data needs to be protected and how. Based on the workload and the data it processes, identify the data that is not common public knowledge.
</t>
    </r>
  </si>
  <si>
    <r>
      <rPr>
        <b/>
        <sz val="11"/>
        <color indexed="8"/>
        <rFont val="Calibri"/>
        <family val="2"/>
      </rPr>
      <t xml:space="preserve">Establish a process to ensure that all required compliance standards are met.
</t>
    </r>
    <r>
      <rPr>
        <sz val="11"/>
        <color indexed="8"/>
        <rFont val="Calibri"/>
        <family val="2"/>
      </rPr>
      <t xml:space="preserve"> 
If you advertise that your product meets specific compliance standards, you must have an internal process for ensuring compliance. Examples of compliance standards include Payment Card Industry Data Security Standard (PCI DSS) PCI DSS, Federal Risk and Authorization Management Program (FedRAMP)FedRAMP, and U.S. Health Insurance Portability and Accountability Act (HIPAA)HIPAA. Applicable compliance standards are determined by various factors, such as what types of data the solution stores or transmits and which geographic regions the solution supports.
</t>
    </r>
  </si>
  <si>
    <t>Partner-hosted FTR 
Results Summary</t>
  </si>
  <si>
    <t>Guidance</t>
  </si>
  <si>
    <t xml:space="preserve">Audit identities quarterly. 
</t>
  </si>
  <si>
    <t xml:space="preserve">Manage access based on life cycle.
</t>
  </si>
  <si>
    <t xml:space="preserve">Use IAM roles and its temporary security credentials to provide access to third parties.
</t>
  </si>
  <si>
    <t xml:space="preserve">Create individual identities (no shared credentials) for anyone who needs AWS access. 
</t>
  </si>
  <si>
    <t>Set account contact information including the root user email address to email addresses and phone numbers owned by your company.</t>
  </si>
  <si>
    <t xml:space="preserve">Use root user only by exception.
</t>
  </si>
  <si>
    <t xml:space="preserve">Review the AWS Shared Responsibility Models for Security and Resiliency. 
</t>
  </si>
  <si>
    <t>WAFR-002</t>
  </si>
  <si>
    <t xml:space="preserve">Conduct periodic architecture reviews (minimum once every year). 
</t>
  </si>
  <si>
    <t xml:space="preserve">Subscribe to the AWS Business Support tier (or higher) for all production AWS accounts or have an action plan to handle issues which require help from AWS Support. 
</t>
  </si>
  <si>
    <t xml:space="preserve">Confirm your hosting model. 
</t>
  </si>
  <si>
    <t>Met?</t>
  </si>
  <si>
    <t xml:space="preserve">Review all Amazon S3 buckets to determine appropriate access levels.
</t>
  </si>
  <si>
    <t xml:space="preserve">Provide guidance or an automated setup mechanism (for example, an AWS CloudFormation template) for creating cross-account roles with the minimum required privileges.
</t>
  </si>
  <si>
    <t xml:space="preserve">Identify sensitive data (for example, Personally Identifiable Information (PII) and Protected Health Information (PHI)).
</t>
  </si>
  <si>
    <t xml:space="preserve">Encrypt all sensitive data at rest.
</t>
  </si>
  <si>
    <t xml:space="preserve">Configure AWS account contacts.
</t>
  </si>
  <si>
    <t xml:space="preserve">Do not embed credentials in application code.
</t>
  </si>
  <si>
    <t xml:space="preserve">Store secrets securely. 
</t>
  </si>
  <si>
    <t xml:space="preserve">Encrypt all end user/customer credentials and hash passwords at rest.
</t>
  </si>
  <si>
    <t xml:space="preserve">Use temporary credentials
</t>
  </si>
  <si>
    <t xml:space="preserve">Perform vulnerability management. 
</t>
  </si>
  <si>
    <t xml:space="preserve">Implement the least permissive rules for all Amazon EC2 security groups. 
</t>
  </si>
  <si>
    <t xml:space="preserve">Restrict resources in public subnets. 
</t>
  </si>
  <si>
    <t xml:space="preserve">Configure automatic data backups. 
</t>
  </si>
  <si>
    <t xml:space="preserve">Periodically recover data to verify the integrity of your backup process.
</t>
  </si>
  <si>
    <t xml:space="preserve">Define a Recovery Point Objective (RPO).
</t>
  </si>
  <si>
    <t xml:space="preserve">Establish a Recovery Time Objective (RTO).
</t>
  </si>
  <si>
    <t xml:space="preserve">Resiliency Testing
</t>
  </si>
  <si>
    <t xml:space="preserve">Communicate customer responsibilities for resilience.
</t>
  </si>
  <si>
    <t xml:space="preserve">Architect your product to meet availability targets and uptime service level agreements (SLAs).
</t>
  </si>
  <si>
    <t xml:space="preserve">Define a customer communication plan for outages.
</t>
  </si>
  <si>
    <t xml:space="preserve">Use an external ID with cross-account roles to access customer accounts.
</t>
  </si>
  <si>
    <t xml:space="preserve">Use a value you generate (not something provided by the customer) for the external ID.
</t>
  </si>
  <si>
    <t xml:space="preserve">Ensure that all external IDs are unique.
</t>
  </si>
  <si>
    <t xml:space="preserve">Provide read-only access to external ID to customers.
</t>
  </si>
  <si>
    <t xml:space="preserve">Deprecate any historical use of customer-provided IAM credentials. 
</t>
  </si>
  <si>
    <t xml:space="preserve">Only use protocols with encryption when transmitting sensitive data outside of your VPC. 
</t>
  </si>
  <si>
    <t xml:space="preserve">Establish a process to ensure that all required compliance standards are met.
</t>
  </si>
  <si>
    <t>Is MFA enabled for all human users to access AWS accounts? (This may be enabled in your IDP to federate access)</t>
  </si>
  <si>
    <t>Is a strong password policy enforced for users?</t>
  </si>
  <si>
    <t>Does every individual user have their own unique credentials which are not shared with other users?</t>
  </si>
  <si>
    <t xml:space="preserve">Are third parties given access to the production workload? </t>
  </si>
  <si>
    <t>Is the principle of least privilege followed while granting access to users?</t>
  </si>
  <si>
    <t>Is there a policy for when a user leaves the company or changes roles?</t>
  </si>
  <si>
    <t>Was there an audit conducted for IAM users, roles and permissions in the last quarter?</t>
  </si>
  <si>
    <t xml:space="preserve">Are there credentials hard-coded in any application code? </t>
  </si>
  <si>
    <t>Is there a process to scan software and patch vulnerabilities on a scheduled basis?</t>
  </si>
  <si>
    <t>Are all of the resources hosted in private subnets?</t>
  </si>
  <si>
    <t xml:space="preserve">Is RPO defined for the solution? </t>
  </si>
  <si>
    <t>Is RTO defined for the solution?</t>
  </si>
  <si>
    <t xml:space="preserve">Is resiliency testing conducted for the solution? </t>
  </si>
  <si>
    <t>Is there documentation outlining the responsibilities of the customer for backup, recovery, and availability? 
These responsibilities may be outlined in public sites, or privately communicated to customers as part of onboarding.</t>
  </si>
  <si>
    <t>Does the solution have SLAs defined for availability and uptime?</t>
  </si>
  <si>
    <t>Is there a customer communication plan for solution outages?</t>
  </si>
  <si>
    <t>Is there a process in place to periodically review access levels of S3 buckets?</t>
  </si>
  <si>
    <t>Do you provide guidance for customers on how to set up their AWS account(s) for external access by your AWS account?</t>
  </si>
  <si>
    <t>Is external ID being used to access another customer’s AWS account?</t>
  </si>
  <si>
    <t>Do you generate the values for  external IDs to provide to customers?</t>
  </si>
  <si>
    <t>Does your solution architecture ensure that all external IDs for external AWS accounts are unique?</t>
  </si>
  <si>
    <t>Does your solution architecture ensure provisioning read-only access to external IDs to customers?</t>
  </si>
  <si>
    <t>Does your solution architecture ensure any historical use of customer-provided IAM credentials are deprecated?</t>
  </si>
  <si>
    <t>Is all sensitive data being encrypted at rest?</t>
  </si>
  <si>
    <t>Is all sensitive data being encrypted in transit?</t>
  </si>
  <si>
    <t xml:space="preserve">Do you advertise that the solution meets any compliance standards?
</t>
  </si>
  <si>
    <t>WAFR-002.1</t>
  </si>
  <si>
    <t>Please explain why this control doesn't apply to your solution in the partner response cell (F28).</t>
  </si>
  <si>
    <t>Please explain why this control doesn't apply to your solution in the partner response cell (F34).</t>
  </si>
  <si>
    <t>Please explain why this control doesn't apply to your solution in the partner response cell (F59).</t>
  </si>
  <si>
    <t>Please explain why this control doesn't apply to your solution in the partner response cell (F61).</t>
  </si>
  <si>
    <t>Please explain why this control doesn't apply to your solution in the partner response cell (F63).</t>
  </si>
  <si>
    <t>Please explain why this control doesn't apply to your solution in the partner response cell (F65).</t>
  </si>
  <si>
    <t>Please explain why this control doesn't apply to your solution in the partner response cell (F67).</t>
  </si>
  <si>
    <t>Please explain why this control doesn't apply to your solution in the partner response cell (F894).</t>
  </si>
  <si>
    <t>Have you reviewed the AWS Shared Responsibility Models for Security and Resiliency?</t>
  </si>
  <si>
    <t>Are AWS alternate contacts configured?</t>
  </si>
  <si>
    <t>Please explain why this control does not apply to the solution (in the partner response cell F12).</t>
  </si>
  <si>
    <t>Please conduct an architecture review before submitting the FTR. </t>
  </si>
  <si>
    <t>Please explain why this control does not apply to the solution (in the partner response cell F15).</t>
  </si>
  <si>
    <t>Optional- please submit a Security Hub report to verify configuration.</t>
  </si>
  <si>
    <t xml:space="preserve">Please review the AWS Shared Responsibility Model before submitting the FTR. </t>
  </si>
  <si>
    <t>Controls Met</t>
  </si>
  <si>
    <t>Controls Not Met</t>
  </si>
  <si>
    <t>Please configure AWS account contacts using distribution list(s) instead of individual user emails.</t>
  </si>
  <si>
    <t>Please set account information, including all email addresses and phone numbers, to ones owned by the company before submitting the FTR.</t>
  </si>
  <si>
    <t xml:space="preserve">Please implement a policy to remove access when a user leaves the organization or changes roles before submitting the FTR. </t>
  </si>
  <si>
    <t xml:space="preserve">Please conduct an identity audit before submitting the FTR. </t>
  </si>
  <si>
    <t xml:space="preserve">Please remove all credentials hard-coded in code before submitting the FTR. </t>
  </si>
  <si>
    <t>Please move application credentials into a secret management service before submitting the FTR.</t>
  </si>
  <si>
    <t>Please have an automated backup process defined and implemented before submitting the FTR.</t>
  </si>
  <si>
    <t>Please perform a data recovery exercise before submitting the FTR.</t>
  </si>
  <si>
    <t>Please perform a resiliency testing exercise before submitting the FTR.</t>
  </si>
  <si>
    <t>Please implement a process to review access levels of S3 buckets before submitting the FTR.</t>
  </si>
  <si>
    <t>Please define a process, using policy documents or automation scripts, for customers to create cross-account role with minimum required privileges before submitting the FTR.</t>
  </si>
  <si>
    <t>Please implement the usage of protocols with encryption when transmitting sensitive data before submitting the FTR.</t>
  </si>
  <si>
    <t>&lt;select&gt;</t>
  </si>
  <si>
    <t>Do you have access keys provisioned for the root user?</t>
  </si>
  <si>
    <t>Are all of the communications emails including the root user,  are configured to use company emails (e.g. no personal / Gmail addresses)?</t>
  </si>
  <si>
    <t>Are the credentials and access keys rotated at most every 90 days?</t>
  </si>
  <si>
    <t>Do you use secret management tools for encryption, access control, access logging?</t>
  </si>
  <si>
    <t xml:space="preserve">Is all critical production data backed up automatically? </t>
  </si>
  <si>
    <r>
      <rPr>
        <b/>
        <sz val="11"/>
        <color indexed="8"/>
        <rFont val="Calibri"/>
        <family val="2"/>
      </rPr>
      <t xml:space="preserve">Define a Recovery Point Objective (RPO).
</t>
    </r>
    <r>
      <rPr>
        <sz val="11"/>
        <color indexed="8"/>
        <rFont val="Calibri"/>
        <family val="2"/>
      </rPr>
      <t xml:space="preserve"> 
Define an RPO based on your organization’s data-loss tolerance (as measured by time). 
**Enter your RPO in the Partner Response column of the self-assessment worksheet.**
</t>
    </r>
    <r>
      <rPr>
        <sz val="11"/>
        <color indexed="62"/>
        <rFont val="Calibri"/>
        <family val="2"/>
      </rPr>
      <t>https://docs.aws.amazon.com/wellarchitected/latest/reliability-pillar/disaster-recovery-dr-objectives.html</t>
    </r>
  </si>
  <si>
    <r>
      <rPr>
        <b/>
        <sz val="11"/>
        <color indexed="8"/>
        <rFont val="Calibri"/>
        <family val="2"/>
      </rPr>
      <t xml:space="preserve">Establish a Recovery Time Objective (RTO).
</t>
    </r>
    <r>
      <rPr>
        <sz val="11"/>
        <color indexed="8"/>
        <rFont val="Calibri"/>
        <family val="2"/>
      </rPr>
      <t xml:space="preserve"> 
Define an RTO that meets your organization’s needs and expectations. RTO is the maximum acceptable delay your organization will accept between the interruption and restoration of service. 
**Enter your RTO in the Partner Response column of the self-assessment worksheet.**
</t>
    </r>
    <r>
      <rPr>
        <sz val="11"/>
        <color indexed="62"/>
        <rFont val="Calibri"/>
        <family val="2"/>
      </rPr>
      <t>https://docs.aws.amazon.com/wellarchitected/latest/reliability-pillar/disaster-recovery-dr-objectives.html</t>
    </r>
  </si>
  <si>
    <r>
      <rPr>
        <b/>
        <sz val="11"/>
        <color indexed="8"/>
        <rFont val="Calibri"/>
        <family val="2"/>
      </rPr>
      <t>Subscribe to the AWS Business Support tier (or higher) for all production AWS accounts or have an action plan to handle issues which require help from AWS Support.</t>
    </r>
    <r>
      <rPr>
        <sz val="11"/>
        <color indexed="8"/>
        <rFont val="Calibri"/>
        <family val="2"/>
      </rPr>
      <t xml:space="preserve"> 
It is recommended that you subscribe to the AWS Business Support tier or higher for all of your AWS production accounts. For more information, refer to Compare AWS Support Plans. If you don't have premium support, you must have an action plan  to handle issues which require help from AWS Support. AWS Support provides a mix of tools and technology, people, and programs designed to proactively help you optimize performance, lower costs, and innovate faster. 
</t>
    </r>
    <r>
      <rPr>
        <sz val="11"/>
        <rFont val="Calibri"/>
        <family val="2"/>
      </rPr>
      <t>AWS Business Support</t>
    </r>
    <r>
      <rPr>
        <sz val="11"/>
        <color indexed="62"/>
        <rFont val="Calibri"/>
        <family val="2"/>
      </rPr>
      <t xml:space="preserve"> (https://aws.amazon.com/premiumsupport/plans/business/)</t>
    </r>
    <r>
      <rPr>
        <sz val="11"/>
        <color indexed="8"/>
        <rFont val="Calibri"/>
        <family val="2"/>
      </rPr>
      <t xml:space="preserve"> provides additional benefits including access to AWS Trusted Advisor (</t>
    </r>
    <r>
      <rPr>
        <sz val="11"/>
        <color indexed="62"/>
        <rFont val="Calibri"/>
        <family val="2"/>
      </rPr>
      <t>https://aws.amazon.com/premiumsupport/technology/trusted-advisor</t>
    </r>
    <r>
      <rPr>
        <sz val="11"/>
        <color indexed="8"/>
        <rFont val="Calibri"/>
        <family val="2"/>
      </rPr>
      <t>/) and  AWS Personal Health Dashboard (</t>
    </r>
    <r>
      <rPr>
        <sz val="11"/>
        <color indexed="62"/>
        <rFont val="Calibri"/>
        <family val="2"/>
      </rPr>
      <t>https://aws.amazon.com/premiumsupport/technology/personal-health-dashboard</t>
    </r>
    <r>
      <rPr>
        <sz val="11"/>
        <color indexed="8"/>
        <rFont val="Calibri"/>
        <family val="2"/>
      </rPr>
      <t xml:space="preserve">) and faster response times. 
</t>
    </r>
  </si>
  <si>
    <t>WAFR-001.2</t>
  </si>
  <si>
    <t xml:space="preserve">Do you do periodic architecture reviews? </t>
  </si>
  <si>
    <r>
      <rPr>
        <b/>
        <sz val="11"/>
        <color indexed="8"/>
        <rFont val="Calibri"/>
        <family val="2"/>
      </rPr>
      <t xml:space="preserve">Conduct periodic architecture reviews (minimum once every year). 
</t>
    </r>
    <r>
      <rPr>
        <sz val="11"/>
        <color indexed="8"/>
        <rFont val="Calibri"/>
        <family val="2"/>
      </rPr>
      <t xml:space="preserve"> 
Conduct periodic architecture reviews of your production workload (at least once per year) using a documented architectural standard that includes AWS-specific best practices. If you have an internally defined standard for your AWS workloads, we recommend you use it for these reviews. If you do not have an internal standard, we recommend you use the AWS Well-Architected Framework (</t>
    </r>
    <r>
      <rPr>
        <sz val="11"/>
        <color indexed="62"/>
        <rFont val="Calibri"/>
        <family val="2"/>
      </rPr>
      <t>https://aws.amazon.com/architecture/well-architected/</t>
    </r>
    <r>
      <rPr>
        <sz val="11"/>
        <color indexed="8"/>
        <rFont val="Calibri"/>
        <family val="2"/>
      </rPr>
      <t xml:space="preserve">).
</t>
    </r>
  </si>
  <si>
    <r>
      <rPr>
        <b/>
        <sz val="11"/>
        <color indexed="8"/>
        <rFont val="Calibri"/>
        <family val="2"/>
      </rPr>
      <t xml:space="preserve">Use root user only by exception.
</t>
    </r>
    <r>
      <rPr>
        <sz val="11"/>
        <color indexed="8"/>
        <rFont val="Calibri"/>
        <family val="2"/>
      </rPr>
      <t xml:space="preserve"> 
The root user has unlimited access to your account and its resources, and using it only by exception helps protect your AWS resources. The AWS root user must not be used for everyday tasks, even administrative ones. Instead, adhere to the best practice (</t>
    </r>
    <r>
      <rPr>
        <sz val="11"/>
        <color indexed="62"/>
        <rFont val="Calibri"/>
        <family val="2"/>
      </rPr>
      <t>https://docs.aws.amazon.com/IAM/latest/UserGuide/best-practices.html#create-iam-users)</t>
    </r>
    <r>
      <rPr>
        <sz val="11"/>
        <color indexed="8"/>
        <rFont val="Calibri"/>
        <family val="2"/>
      </rPr>
      <t xml:space="preserve"> of using the root user only to create your first AWS Identity and Access Management (IAM) user. Then securely lock away the root user credentials and use them to perform only a few accounts and service management tasks. To view the tasks that require you to sign in as the root user, see AWS Tasks That Require Root User (</t>
    </r>
    <r>
      <rPr>
        <sz val="11"/>
        <color indexed="62"/>
        <rFont val="Calibri"/>
        <family val="2"/>
      </rPr>
      <t>https://docs.aws.amazon.com/general/latest/gr/aws_tasks-that-require-root.html)</t>
    </r>
    <r>
      <rPr>
        <sz val="11"/>
        <color indexed="8"/>
        <rFont val="Calibri"/>
        <family val="2"/>
      </rPr>
      <t xml:space="preserve">. FTR does not require you to actively monitor root usage. 
</t>
    </r>
  </si>
  <si>
    <t>IAM-005.3</t>
  </si>
  <si>
    <t xml:space="preserve">If yes, please answer the next question. </t>
  </si>
  <si>
    <t>Do you provide temporary or static credentials?</t>
  </si>
  <si>
    <r>
      <rPr>
        <b/>
        <sz val="11"/>
        <color indexed="8"/>
        <rFont val="Calibri"/>
        <family val="2"/>
      </rPr>
      <t>Audit identities quarterly.</t>
    </r>
    <r>
      <rPr>
        <sz val="11"/>
        <color indexed="8"/>
        <rFont val="Calibri"/>
        <family val="2"/>
      </rPr>
      <t xml:space="preserve"> 
Auditing the identities that are configured in your identity provider and IAM helps ensure that only authorized identities have access to your workload. For example, remove people that leave the organization, and remove cross-account roles that are no longer required. Have a process in place to periodically audit permissions to the services accessed by an IAM entity. This helps you identify the policies you needto modify to remove any unused permissions. For more information, see  Refining permissions in AWS using last accessed information (</t>
    </r>
    <r>
      <rPr>
        <sz val="11"/>
        <color indexed="62"/>
        <rFont val="Calibri"/>
        <family val="2"/>
      </rPr>
      <t>https://docs.aws.amazon.com/IAM/latest/UserGuide/access_policies_access-advisor.html</t>
    </r>
    <r>
      <rPr>
        <sz val="11"/>
        <color indexed="8"/>
        <rFont val="Calibri"/>
        <family val="2"/>
      </rPr>
      <t xml:space="preserve">).
</t>
    </r>
  </si>
  <si>
    <t>Ok, please select N/A to the next question</t>
  </si>
  <si>
    <t>Please define a mechanism for vulnerability management for your CI/CD pipeline and machine identities before submitting the FTR.</t>
  </si>
  <si>
    <t>BAR-002.2</t>
  </si>
  <si>
    <t>Do you test data recovery after making significant changes to the solution?</t>
  </si>
  <si>
    <t>Please test data recovery after making significant changes to the solution before submitting the FTR.</t>
  </si>
  <si>
    <t>Does your architecture support the SLA?</t>
  </si>
  <si>
    <t>OK</t>
  </si>
  <si>
    <t>Please architect your solution to meet your defined SLA before submitting the FTR.</t>
  </si>
  <si>
    <t>Please answer the next question.</t>
  </si>
  <si>
    <t>Do you use cross-account roles to access customer AWS accounts?</t>
  </si>
  <si>
    <t>CAA-000</t>
  </si>
  <si>
    <t>Please implement the usage of cross-account role to access your customers AWS accounts before submitting the FTR.</t>
  </si>
  <si>
    <t>Optional - Questions
Partner Feedback</t>
  </si>
  <si>
    <t>OPT-001.1</t>
  </si>
  <si>
    <t>Answer</t>
  </si>
  <si>
    <t>Feedback Question</t>
  </si>
  <si>
    <t>OPT-001.2</t>
  </si>
  <si>
    <r>
      <t xml:space="preserve">How many </t>
    </r>
    <r>
      <rPr>
        <b/>
        <sz val="14"/>
        <color indexed="8"/>
        <rFont val="Calibri"/>
        <family val="2"/>
      </rPr>
      <t>hours</t>
    </r>
    <r>
      <rPr>
        <sz val="14"/>
        <color indexed="8"/>
        <rFont val="Calibri"/>
        <family val="2"/>
      </rPr>
      <t xml:space="preserve"> were spent to prepare the FTR checklist for submission?
</t>
    </r>
  </si>
  <si>
    <r>
      <t xml:space="preserve">How many </t>
    </r>
    <r>
      <rPr>
        <b/>
        <sz val="14"/>
        <color indexed="8"/>
        <rFont val="Calibri"/>
        <family val="2"/>
      </rPr>
      <t>people</t>
    </r>
    <r>
      <rPr>
        <sz val="14"/>
        <color indexed="8"/>
        <rFont val="Calibri"/>
        <family val="2"/>
      </rPr>
      <t xml:space="preserve"> collaborated to prepare the checklist?
</t>
    </r>
  </si>
  <si>
    <r>
      <rPr>
        <b/>
        <sz val="11"/>
        <color indexed="8"/>
        <rFont val="Calibri"/>
        <family val="2"/>
      </rPr>
      <t xml:space="preserve">Use temporary credentials
</t>
    </r>
    <r>
      <rPr>
        <sz val="11"/>
        <color indexed="8"/>
        <rFont val="Calibri"/>
        <family val="2"/>
      </rPr>
      <t xml:space="preserve"> 
Use temporary security credentials (</t>
    </r>
    <r>
      <rPr>
        <sz val="11"/>
        <color indexed="62"/>
        <rFont val="Calibri"/>
        <family val="2"/>
      </rPr>
      <t xml:space="preserve">https://docs.aws.amazon.com/IAM/latest/UserGuide/id_credentials_temp.html) </t>
    </r>
    <r>
      <rPr>
        <sz val="11"/>
        <color indexed="8"/>
        <rFont val="Calibri"/>
        <family val="2"/>
      </rPr>
      <t>to access AWS resources.
* For machine identities within AWS (for example, Amazon Elastic Compute Cloud (Amazon EC2) instances or AWS Lambda functions), always use IAM roles to acquire temporary security credentials. 
* For machine identities running outside of AWS, use IAM Roles Anywhere or securely store static AWS access keys that are only used to assume an IAM role. 
* For human identities, use AWS IAM Identity Center or other identity federation solutions where possible. If you must use static AWS access keys for human users, require MFA for all access, including the AWS Management Console, and AWS Command Line Interface (AWS CLI).
For additional information, please see Identity federation in AWS (</t>
    </r>
    <r>
      <rPr>
        <sz val="11"/>
        <color indexed="62"/>
        <rFont val="Calibri"/>
        <family val="2"/>
      </rPr>
      <t>https://aws.amazon.com/identity/federation/</t>
    </r>
    <r>
      <rPr>
        <sz val="11"/>
        <color indexed="8"/>
        <rFont val="Calibri"/>
        <family val="2"/>
      </rPr>
      <t>), AWS IAM Identity Center (</t>
    </r>
    <r>
      <rPr>
        <sz val="11"/>
        <color indexed="62"/>
        <rFont val="Calibri"/>
        <family val="2"/>
      </rPr>
      <t>https://aws.amazon.com/iam/identity-center</t>
    </r>
    <r>
      <rPr>
        <sz val="11"/>
        <color indexed="8"/>
        <rFont val="Calibri"/>
        <family val="2"/>
      </rPr>
      <t>), and How to Build it Right: Common AWS Access Patterns for Your Workforce (</t>
    </r>
    <r>
      <rPr>
        <sz val="11"/>
        <color indexed="62"/>
        <rFont val="Calibri"/>
        <family val="2"/>
      </rPr>
      <t>https://pages.awscloud.com/How-to-Build-it-Right-Common-AWS-Access-Patterns-for-Your-Workforce_2020_0926-SID_OD.html?&amp;trk=ep_card-el_a131L0000084iG3QAI&amp;trkCampaign=NA-FY20-AWS-DIGMKT-WEBINAR-SERIES-September_2020_0926-SID&amp;sc_channel=el&amp;sc_campaign=pac_2018-2019_exlinks_ondemand_OTT_evergreen&amp;sc_outcome=Product_Adoption_Campaigns&amp;sc_geo=NAMER&amp;sc_country=mult</t>
    </r>
    <r>
      <rPr>
        <sz val="11"/>
        <color indexed="8"/>
        <rFont val="Calibri"/>
        <family val="2"/>
      </rPr>
      <t>)</t>
    </r>
  </si>
  <si>
    <r>
      <rPr>
        <b/>
        <sz val="11"/>
        <color indexed="8"/>
        <rFont val="Calibri"/>
        <family val="2"/>
      </rPr>
      <t>Perform vulnerability management.</t>
    </r>
    <r>
      <rPr>
        <sz val="11"/>
        <color indexed="8"/>
        <rFont val="Calibri"/>
        <family val="2"/>
      </rPr>
      <t xml:space="preserve"> 
Define a mechanism and frequency to scan and patch for vulnerabilities in your dependencies, and in your operating systems to help protect against new threats. Scan and patch your dependencies, and your operating systems on a defined schedule. Software vulnerability management is essential to keeping your system secure from threat actors. Embedding vulnerability assessments early into your continuous integration/continuous delivery (CI/CD) pipeline allows you to prioritize remediation of any security vulnerabilities detected. The solution you need to achieve this varies according to the AWS services that you are consuming. To check for vulnerabilities in software running in Amazon EC2 instances, you can add Amazon Inspector (</t>
    </r>
    <r>
      <rPr>
        <sz val="11"/>
        <color indexed="62"/>
        <rFont val="Calibri"/>
        <family val="2"/>
      </rPr>
      <t>https://aws.amazon.com/inspector</t>
    </r>
    <r>
      <rPr>
        <sz val="11"/>
        <color indexed="8"/>
        <rFont val="Calibri"/>
        <family val="2"/>
      </rPr>
      <t>)  to your pipeline to cause your build to fail if Inspector detects vulnerabilities. You can also use open source products such as OWASP Dependency-Check (</t>
    </r>
    <r>
      <rPr>
        <sz val="11"/>
        <color indexed="62"/>
        <rFont val="Calibri"/>
        <family val="2"/>
      </rPr>
      <t>https://owasp.org/www-project-dependency-check/</t>
    </r>
    <r>
      <rPr>
        <sz val="11"/>
        <color indexed="8"/>
        <rFont val="Calibri"/>
        <family val="2"/>
      </rPr>
      <t>), Snyk (</t>
    </r>
    <r>
      <rPr>
        <sz val="11"/>
        <color indexed="62"/>
        <rFont val="Calibri"/>
        <family val="2"/>
      </rPr>
      <t>https://snyk.io/product/open-source-security-management</t>
    </r>
    <r>
      <rPr>
        <sz val="11"/>
        <color indexed="8"/>
        <rFont val="Calibri"/>
        <family val="2"/>
      </rPr>
      <t>),OpenVAS (</t>
    </r>
    <r>
      <rPr>
        <sz val="11"/>
        <color indexed="62"/>
        <rFont val="Calibri"/>
        <family val="2"/>
      </rPr>
      <t>https://www.openvas.org/</t>
    </r>
    <r>
      <rPr>
        <sz val="11"/>
        <color indexed="8"/>
        <rFont val="Calibri"/>
        <family val="2"/>
      </rPr>
      <t xml:space="preserve">), package managers and AWS Partner tools for vulnerability management. 
</t>
    </r>
  </si>
  <si>
    <r>
      <rPr>
        <b/>
        <sz val="11"/>
        <color indexed="8"/>
        <rFont val="Calibri"/>
        <family val="2"/>
      </rPr>
      <t>Configure automatic data backups.</t>
    </r>
    <r>
      <rPr>
        <sz val="11"/>
        <color indexed="8"/>
        <rFont val="Calibri"/>
        <family val="2"/>
      </rPr>
      <t xml:space="preserve"> 
You must perform regular backups to a durable storage service. Backups ensure that you have the ability to recover from administrative, logical, or physical error scenarios. Configure backups to be taken automatically based on a periodic schedule, or by changes in the dataset. RDS instances, EBS volumes, DynamoDB tables, and S3 objects can all be configured for automatic backup. AWS Backup, AWS Marketplace solutions (</t>
    </r>
    <r>
      <rPr>
        <sz val="11"/>
        <color indexed="62"/>
        <rFont val="Calibri"/>
        <family val="2"/>
      </rPr>
      <t>https://aws.amazon.com/marketplace</t>
    </r>
    <r>
      <rPr>
        <sz val="11"/>
        <color indexed="8"/>
        <rFont val="Calibri"/>
        <family val="2"/>
      </rPr>
      <t xml:space="preserve">) or third-party solutions can also be used. If objects in S3 bucket are write-once-read-many (WORM), compensating controls such as object lock can be used meet this requirement. If it is customers’ responsibility to backup their data, it must be clearly stated in the documentation and the Partner must provide clear instructions on how to backup the data.  
</t>
    </r>
  </si>
  <si>
    <r>
      <rPr>
        <b/>
        <sz val="11"/>
        <color indexed="8"/>
        <rFont val="Calibri"/>
        <family val="2"/>
      </rPr>
      <t xml:space="preserve">Periodically recover data to verify the integrity of your backup process.
</t>
    </r>
    <r>
      <rPr>
        <sz val="11"/>
        <color indexed="8"/>
        <rFont val="Calibri"/>
        <family val="2"/>
      </rPr>
      <t xml:space="preserve"> 
To confirm that your backup process meets your recovery time objectives (RTO) and recovery point objectives (RPO), run a recovery test on a regular schedule and after making significant changes to your cloud environment. For more information, refer to Getting Started - Backup and Restore with AWS (</t>
    </r>
    <r>
      <rPr>
        <sz val="11"/>
        <color indexed="62"/>
        <rFont val="Calibri"/>
        <family val="2"/>
      </rPr>
      <t>https://aws.amazon.com/backup-restore/getting-started/</t>
    </r>
    <r>
      <rPr>
        <sz val="11"/>
        <color indexed="8"/>
        <rFont val="Calibri"/>
        <family val="2"/>
      </rPr>
      <t xml:space="preserve">). 
</t>
    </r>
  </si>
  <si>
    <r>
      <rPr>
        <b/>
        <sz val="11"/>
        <color indexed="8"/>
        <rFont val="Calibri"/>
        <family val="2"/>
      </rPr>
      <t xml:space="preserve">Review all Amazon S3 buckets to determine appropriate access levels.
</t>
    </r>
    <r>
      <rPr>
        <sz val="11"/>
        <color indexed="8"/>
        <rFont val="Calibri"/>
        <family val="2"/>
      </rPr>
      <t xml:space="preserve"> 
You must ensure that buckets that require public access have been reviewed to determine if public read or write access is needed and if appropriate controls are in place to control public access. When assigning access permissions, follow the principle of least privilege (</t>
    </r>
    <r>
      <rPr>
        <sz val="11"/>
        <color indexed="62"/>
        <rFont val="Calibri"/>
        <family val="2"/>
      </rPr>
      <t>https://docs.aws.amazon.com/IAM/latest/UserGuide/best-practices.html#grant-least-privilege</t>
    </r>
    <r>
      <rPr>
        <sz val="11"/>
        <color indexed="8"/>
        <rFont val="Calibri"/>
        <family val="2"/>
      </rPr>
      <t>), an AWS best practice. For more information, refer to overview of managing access (</t>
    </r>
    <r>
      <rPr>
        <sz val="11"/>
        <color indexed="62"/>
        <rFont val="Calibri"/>
        <family val="2"/>
      </rPr>
      <t>https://docs.aws.amazon.com/AmazonS3/latest/dev/access-control-overview.html</t>
    </r>
    <r>
      <rPr>
        <sz val="11"/>
        <color indexed="8"/>
        <rFont val="Calibri"/>
        <family val="2"/>
      </rPr>
      <t xml:space="preserve">). 
</t>
    </r>
  </si>
  <si>
    <r>
      <rPr>
        <b/>
        <sz val="11"/>
        <color indexed="8"/>
        <rFont val="Calibri"/>
        <family val="2"/>
      </rPr>
      <t xml:space="preserve">Use cross-account roles to access customer accounts.
</t>
    </r>
    <r>
      <rPr>
        <sz val="11"/>
        <color indexed="8"/>
        <rFont val="Calibri"/>
        <family val="2"/>
      </rPr>
      <t xml:space="preserve"> 
Cross-account roles (</t>
    </r>
    <r>
      <rPr>
        <sz val="11"/>
        <color indexed="62"/>
        <rFont val="Calibri"/>
        <family val="2"/>
      </rPr>
      <t>https://aws.amazon.com/blogs/apn/securely-accessing-customer-aws-accounts-with-cross-account-iam-roles/</t>
    </r>
    <r>
      <rPr>
        <sz val="11"/>
        <color indexed="8"/>
        <rFont val="Calibri"/>
        <family val="2"/>
      </rPr>
      <t xml:space="preserve">) reduce the amount of sensitive information AWS Partners need to store for their customers. 
</t>
    </r>
  </si>
  <si>
    <r>
      <rPr>
        <b/>
        <sz val="11"/>
        <color indexed="8"/>
        <rFont val="Calibri"/>
        <family val="2"/>
      </rPr>
      <t xml:space="preserve">Provide guidance or an automated setup mechanism (for example, an AWS CloudFormation template) for creating cross-account roles with the minimum required privileges.
</t>
    </r>
    <r>
      <rPr>
        <sz val="11"/>
        <color indexed="8"/>
        <rFont val="Calibri"/>
        <family val="2"/>
      </rPr>
      <t xml:space="preserve"> 
The policy created for cross-account access in customer accounts must follow the principle of least privilege (</t>
    </r>
    <r>
      <rPr>
        <sz val="11"/>
        <color indexed="62"/>
        <rFont val="Calibri"/>
        <family val="2"/>
      </rPr>
      <t>https://docs.aws.amazon.com/IAM/latest/UserGuide/best-practices.html#grant-least-privilege</t>
    </r>
    <r>
      <rPr>
        <sz val="11"/>
        <color indexed="8"/>
        <rFont val="Calibri"/>
        <family val="2"/>
      </rPr>
      <t>). The AWS Partner must provide a role-policy document or an automated setup mechanism (for example, an AWS CloudFormation template) for the customers to use to ensure that the roles are created with minimum required privileges. For more information, refer to the AWS Partner Network (APN) blog posts (</t>
    </r>
    <r>
      <rPr>
        <sz val="11"/>
        <color indexed="62"/>
        <rFont val="Calibri"/>
        <family val="2"/>
      </rPr>
      <t>https://aws.amazon.com/blogs/apn/tag/cross-account-roles/</t>
    </r>
    <r>
      <rPr>
        <sz val="11"/>
        <color indexed="8"/>
        <rFont val="Calibri"/>
        <family val="2"/>
      </rPr>
      <t xml:space="preserve">).
</t>
    </r>
  </si>
  <si>
    <r>
      <rPr>
        <b/>
        <sz val="11"/>
        <color indexed="8"/>
        <rFont val="Calibri"/>
        <family val="2"/>
      </rPr>
      <t xml:space="preserve">Use an external ID with cross-account roles to access customer accounts.
</t>
    </r>
    <r>
      <rPr>
        <sz val="11"/>
        <color indexed="8"/>
        <rFont val="Calibri"/>
        <family val="2"/>
      </rPr>
      <t xml:space="preserve"> 
An external ID allows the user that is assuming the role to assert the circumstances in which they are operating. It also provides a way for the account owner to permit the role to be assumed only under specific circumstances. The primary function of the external ID is to address and prevent the confused deputy (</t>
    </r>
    <r>
      <rPr>
        <sz val="11"/>
        <color indexed="62"/>
        <rFont val="Calibri"/>
        <family val="2"/>
      </rPr>
      <t>https://aws.amazon.com/blogs/security/how-to-use-external-id-when-granting-access-to-your-aws-resources</t>
    </r>
    <r>
      <rPr>
        <sz val="11"/>
        <color indexed="8"/>
        <rFont val="Calibri"/>
        <family val="2"/>
      </rPr>
      <t xml:space="preserve">) problem. 
</t>
    </r>
  </si>
  <si>
    <r>
      <rPr>
        <b/>
        <sz val="11"/>
        <color indexed="8"/>
        <rFont val="Calibri"/>
        <family val="2"/>
      </rPr>
      <t xml:space="preserve">Use a value you generate (not something provided by the customer) for the external ID.
</t>
    </r>
    <r>
      <rPr>
        <sz val="11"/>
        <color indexed="8"/>
        <rFont val="Calibri"/>
        <family val="2"/>
      </rPr>
      <t xml:space="preserve"> 
When configuring cross-account access using IAM roles, you must use a value you generate for the external ID, instead of one provided by the customer, to ensure the integrity of the cross-account role configuration. A partner-generated external ID ensures that malicious parties cannot impersonate a customer's configuration and enforces uniqueness and format consistency across all customers. If you are not generating an external ID today we recommend implementing a process that generates a random unique value such as a Universally Unique Identifier (</t>
    </r>
    <r>
      <rPr>
        <sz val="11"/>
        <color indexed="62"/>
        <rFont val="Calibri"/>
        <family val="2"/>
      </rPr>
      <t xml:space="preserve">https://en.wikipedia.org/wiki/Universally_unique_identifier) </t>
    </r>
    <r>
      <rPr>
        <sz val="11"/>
        <color indexed="8"/>
        <rFont val="Calibri"/>
        <family val="2"/>
      </rPr>
      <t xml:space="preserve"> or the external ID that a customer uses to set up a cross-account role. 
</t>
    </r>
  </si>
  <si>
    <r>
      <rPr>
        <b/>
        <sz val="11"/>
        <color indexed="8"/>
        <rFont val="Calibri"/>
        <family val="2"/>
      </rPr>
      <t xml:space="preserve">Ensure that all external IDs are unique.
</t>
    </r>
    <r>
      <rPr>
        <sz val="11"/>
        <color indexed="8"/>
        <rFont val="Calibri"/>
        <family val="2"/>
      </rPr>
      <t xml:space="preserve"> 
The external IDs used must be unique across all customers. Re-using external IDs for different customers does not solve the confused deputy problem and runs the risk of customer A being able to view data of customer B by using the role ARN and the external ID of customer B.  To resolve this, we recommend implementing a process that ensures a random unique value, such as a Universally Unique Identifier (</t>
    </r>
    <r>
      <rPr>
        <sz val="11"/>
        <color indexed="62"/>
        <rFont val="Calibri"/>
        <family val="2"/>
      </rPr>
      <t>https://en.wikipedia.org/wiki/Universally_unique_identifier</t>
    </r>
    <r>
      <rPr>
        <sz val="11"/>
        <color indexed="8"/>
        <rFont val="Calibri"/>
        <family val="2"/>
      </rPr>
      <t xml:space="preserve">), is generated for the external ID that a customer would use to setup a cross account role.
</t>
    </r>
  </si>
  <si>
    <r>
      <rPr>
        <b/>
        <sz val="11"/>
        <color indexed="8"/>
        <rFont val="Calibri"/>
        <family val="2"/>
      </rPr>
      <t xml:space="preserve">Deprecate any historical use of customer-provided IAM credentials. 
</t>
    </r>
    <r>
      <rPr>
        <sz val="11"/>
        <color indexed="8"/>
        <rFont val="Calibri"/>
        <family val="2"/>
      </rPr>
      <t xml:space="preserve"> 
If your application provides legacy support for the use of static IAM credentials for cross-account access, the application's user interface and customer documentation must make it clear that this method is deprecated. Existing customers should be encouraged to switch to cross-account role based-access (</t>
    </r>
    <r>
      <rPr>
        <sz val="11"/>
        <color indexed="62"/>
        <rFont val="Calibri"/>
        <family val="2"/>
      </rPr>
      <t>https://aws.amazon.com/blogs/apn/securely-accessing-customer-aws-accounts-with-cross-account-iam-roles/</t>
    </r>
    <r>
      <rPr>
        <sz val="11"/>
        <color indexed="8"/>
        <rFont val="Calibri"/>
        <family val="2"/>
      </rPr>
      <t xml:space="preserve">), and collection of credentials should be disabled for new customers. 
</t>
    </r>
  </si>
  <si>
    <t>Does the architecture/solution store any PII data?</t>
  </si>
  <si>
    <t>Ok. The below CAA controls do not apply to your solution. Please enter N/A to all CAA questions or skip this section.</t>
  </si>
  <si>
    <t>Is there a process to perform reviews to classify your data?</t>
  </si>
  <si>
    <t>RCVP-001.2</t>
  </si>
  <si>
    <t xml:space="preserve">Do you have a process to ensure being compliant with the standards? </t>
  </si>
  <si>
    <t xml:space="preserve">Please answer the next question. </t>
  </si>
  <si>
    <t>SDAT-000</t>
  </si>
  <si>
    <t>Ok. The below SDAT controls do not apply to your solution. Please enter N/A to all SDAT questions or skip this section.</t>
  </si>
  <si>
    <t>Please answer all SDAT contols questions.</t>
  </si>
  <si>
    <t>Please answer all the CAA controls questions.</t>
  </si>
  <si>
    <t xml:space="preserve">Please document a process to review and classify data before submitting FTR. </t>
  </si>
  <si>
    <t>You must have an internal process to ensure compliance before submitting the FTR.</t>
  </si>
  <si>
    <r>
      <rPr>
        <b/>
        <sz val="11"/>
        <color indexed="8"/>
        <rFont val="Calibri"/>
        <family val="2"/>
      </rPr>
      <t xml:space="preserve">Use IAM roles and its temporary security credentials to provide access to third parties.
</t>
    </r>
    <r>
      <rPr>
        <sz val="11"/>
        <color indexed="8"/>
        <rFont val="Calibri"/>
        <family val="2"/>
      </rPr>
      <t xml:space="preserve"> 
Do not provision IAM users and share those credentials with people outside of your organization. Any external services that need to make AWS API calls against your account (for example, a monitoring solution that accesses your account's AWS CloudWatch metrics) must use a cross-account role. For more information, refer to  Providing access to AWS accounts owned by third parties (</t>
    </r>
    <r>
      <rPr>
        <sz val="11"/>
        <color indexed="62"/>
        <rFont val="Calibri"/>
        <family val="2"/>
      </rPr>
      <t>https://docs.aws.amazon.com/IAM/latest/UserGuide/id_roles_common-scenarios_third-party.htm</t>
    </r>
    <r>
      <rPr>
        <sz val="11"/>
        <color indexed="8"/>
        <rFont val="Calibri"/>
        <family val="2"/>
      </rPr>
      <t xml:space="preserve">l)
</t>
    </r>
  </si>
  <si>
    <r>
      <rPr>
        <b/>
        <sz val="11"/>
        <color indexed="8"/>
        <rFont val="Calibri"/>
        <family val="2"/>
      </rPr>
      <t>Store secrets securely.</t>
    </r>
    <r>
      <rPr>
        <sz val="11"/>
        <color indexed="8"/>
        <rFont val="Calibri"/>
        <family val="2"/>
      </rPr>
      <t xml:space="preserve"> 
Encrypt all secrets in transit and at rest, define fine-grained access controls that only allow access to specific identities, and log access to secrets in an audit log.  We recommend you use a purpose-built secret management service such as Systems Manager Parameter Store (</t>
    </r>
    <r>
      <rPr>
        <sz val="11"/>
        <color indexed="62"/>
        <rFont val="Calibri"/>
        <family val="2"/>
      </rPr>
      <t>https://docs.aws.amazon.com/systems-manager/latest/userguide/systems-manager-parameter-store.htm</t>
    </r>
    <r>
      <rPr>
        <sz val="11"/>
        <color indexed="8"/>
        <rFont val="Calibri"/>
        <family val="2"/>
      </rPr>
      <t xml:space="preserve">l), or an AWS Partner solution, but internally developed solutions that meet these requirements are also acceptable.
</t>
    </r>
  </si>
  <si>
    <t>OPT-001.3</t>
  </si>
  <si>
    <t>Have you done an architecture review in the last year?</t>
  </si>
  <si>
    <r>
      <t xml:space="preserve">Is the AWS root account used for any OTHER tasks than the ones listed in this link? </t>
    </r>
    <r>
      <rPr>
        <sz val="14"/>
        <color indexed="62"/>
        <rFont val="Calibri"/>
        <family val="2"/>
      </rPr>
      <t>https://docs.aws.amazon.com/accounts/latest/reference/root-user-tasks.html</t>
    </r>
    <r>
      <rPr>
        <sz val="14"/>
        <color indexed="8"/>
        <rFont val="Calibri"/>
        <family val="2"/>
      </rPr>
      <t xml:space="preserve">
</t>
    </r>
  </si>
  <si>
    <t>Do you encrypt end-user authentication credentials and passwords at-rest?</t>
  </si>
  <si>
    <r>
      <rPr>
        <b/>
        <sz val="11"/>
        <color rgb="FF000000"/>
        <rFont val="Calibri"/>
        <family val="2"/>
      </rPr>
      <t xml:space="preserve">Develop incident management plans.
</t>
    </r>
    <r>
      <rPr>
        <sz val="11"/>
        <color rgb="FF000000"/>
        <rFont val="Calibri"/>
        <family val="2"/>
      </rPr>
      <t xml:space="preserve"> 
An incident management plan is critical to respond, mitigate, and recover from the potential impact of security incidents. An incident management plan is a structured process for identifying, remediating, and responding in a timely matter to security incidents. An effective incident management plan must be continually iterated upon, remaining current with your cloud operations goal. For more information on developing incident management plan please see Develop incident management plans (</t>
    </r>
    <r>
      <rPr>
        <sz val="11"/>
        <color rgb="FF333399"/>
        <rFont val="Calibri"/>
        <family val="2"/>
      </rPr>
      <t>https://docs.aws.amazon.com/wellarchitected/latest/security-pillar/sec_incident_response_develop_management_plans.html</t>
    </r>
    <r>
      <rPr>
        <sz val="11"/>
        <color rgb="FF000000"/>
        <rFont val="Calibri"/>
        <family val="2"/>
      </rPr>
      <t xml:space="preserve">)
</t>
    </r>
  </si>
  <si>
    <t xml:space="preserve">Is there a documented process to respond, mitigate, and recover from security incidents? 
</t>
  </si>
  <si>
    <t xml:space="preserve">Please create a documented procedure for responding to, mitigating, and recovering from security incidents before to submitting the FTR. </t>
  </si>
  <si>
    <t>Please list all resources hosted in a public subnet and explain why each resource receives network traffic (in the partner response cell E85).</t>
  </si>
  <si>
    <t>Are all security groups configured to not allow ingress from 0.0.0.0/0 to port 22 or 3389?</t>
  </si>
  <si>
    <t>OPT-001.4</t>
  </si>
  <si>
    <t>OPT-001.5</t>
  </si>
  <si>
    <r>
      <t xml:space="preserve">Were there any FTR controls that are </t>
    </r>
    <r>
      <rPr>
        <b/>
        <sz val="14"/>
        <color theme="1"/>
        <rFont val="Calibri"/>
        <family val="2"/>
        <scheme val="minor"/>
      </rPr>
      <t>difficult to understand</t>
    </r>
    <r>
      <rPr>
        <sz val="14"/>
        <color theme="1"/>
        <rFont val="Calibri"/>
        <family val="2"/>
        <scheme val="minor"/>
      </rPr>
      <t>? If yes, please specify the controls.</t>
    </r>
  </si>
  <si>
    <r>
      <t xml:space="preserve">Were there any FTR controls that are </t>
    </r>
    <r>
      <rPr>
        <b/>
        <sz val="14"/>
        <color theme="1"/>
        <rFont val="Calibri"/>
        <family val="2"/>
        <scheme val="minor"/>
      </rPr>
      <t>difficult to implement</t>
    </r>
    <r>
      <rPr>
        <sz val="14"/>
        <color theme="1"/>
        <rFont val="Calibri"/>
        <family val="2"/>
        <scheme val="minor"/>
      </rPr>
      <t>? If yes, please specify the controls.</t>
    </r>
  </si>
  <si>
    <r>
      <t>Were there any other difficulties with the FTR submission process</t>
    </r>
    <r>
      <rPr>
        <sz val="14"/>
        <color indexed="8"/>
        <rFont val="Calibri"/>
        <family val="2"/>
      </rPr>
      <t xml:space="preserve">? </t>
    </r>
  </si>
  <si>
    <t>Network ACLs should not allow ingress from 0.0.0.0/0 to port 22 or 3389. Please update the network ACLs rules before submitting the FTR.</t>
  </si>
  <si>
    <t>Ok. 
Next question is not applicable, please enter N/A in cell C107</t>
  </si>
  <si>
    <t>Do you access customer AWS accounts?</t>
  </si>
  <si>
    <t xml:space="preserve">Use cross-account roles to access customer AWS accounts.
</t>
  </si>
  <si>
    <t xml:space="preserve">FTR User Guide </t>
  </si>
  <si>
    <t xml:space="preserve"> FTR101 – Intro to FTR Video</t>
  </si>
  <si>
    <t>FTR201- Partner-Hosted SaaS on AWS Video</t>
  </si>
  <si>
    <t>IAM-002.2</t>
  </si>
  <si>
    <t>Have you implemented monitoring of AWS CloudTrail logs to detect anomalous activity or other potential misuse?</t>
  </si>
  <si>
    <t>IAM-002.3</t>
  </si>
  <si>
    <t>Do you have a runbook or SOP for revoking credentials in the event you detect misuse?</t>
  </si>
  <si>
    <t>This requirement is N/A since you rotate access keys regularly</t>
  </si>
  <si>
    <t>Please implement monitoring of AWS CloudTrail logs to detect anomalous activity or other potential misuse (e.g. using AWS GuardDuty.)</t>
  </si>
  <si>
    <t xml:space="preserve">Please create a runbook or SOP for revoking credentials in the event you detect misuse. </t>
  </si>
  <si>
    <t>WAFR-000</t>
  </si>
  <si>
    <t>IAM-002.4</t>
  </si>
  <si>
    <t>Do you have a list of all static keys and where they are used?</t>
  </si>
  <si>
    <t>Please create an inventory of all static keys and where they are used and remove unused access keys.</t>
  </si>
  <si>
    <t xml:space="preserve">Please proceed with completing the remaining FTR checklist. </t>
  </si>
  <si>
    <t>Ok - you meet the requirements for this control. You are not required to complete IAM-002.2 - IAM-002.4.</t>
  </si>
  <si>
    <t>FTR Calibration Guide</t>
  </si>
  <si>
    <r>
      <rPr>
        <sz val="11"/>
        <color theme="1"/>
        <rFont val="Calibri"/>
        <family val="2"/>
        <scheme val="minor"/>
      </rPr>
      <t>Review the AWS Shared Responsibility Model for Security (</t>
    </r>
    <r>
      <rPr>
        <sz val="11"/>
        <color indexed="62"/>
        <rFont val="Calibri"/>
        <family val="2"/>
      </rPr>
      <t>https://docs.aws.amazon.com/whitepapers/latest/aws-risk-and-compliance/shared-responsibility-model.html</t>
    </r>
    <r>
      <rPr>
        <sz val="11"/>
        <color indexed="8"/>
        <rFont val="Calibri"/>
        <family val="2"/>
      </rPr>
      <t>) and the AWS Shared Responsibility Model for Resiliency (</t>
    </r>
    <r>
      <rPr>
        <sz val="11"/>
        <color indexed="62"/>
        <rFont val="Calibri"/>
        <family val="2"/>
      </rPr>
      <t>https://docs.aws.amazon.com/whitepapers/latest/disaster-recovery-workloads-on-aws/shared-responsibility-model-for-resiliency.html</t>
    </r>
    <r>
      <rPr>
        <sz val="11"/>
        <color indexed="8"/>
        <rFont val="Calibri"/>
        <family val="2"/>
      </rPr>
      <t>). Ensure that your product’s architecture and operational processes address the customer responsibilities defined in these models. We recommend you to use AWS Resilience Hub (</t>
    </r>
    <r>
      <rPr>
        <sz val="11"/>
        <color rgb="FF333399"/>
        <rFont val="Calibri"/>
        <family val="2"/>
      </rPr>
      <t>https://aws.amazon.com/resilience-hub/</t>
    </r>
    <r>
      <rPr>
        <sz val="11"/>
        <color indexed="8"/>
        <rFont val="Calibri"/>
        <family val="2"/>
      </rPr>
      <t>) to ensure your workload resiliency posture meets your targets and to provide you with operational procedures you may use to address the customer responsibilities.</t>
    </r>
  </si>
  <si>
    <t xml:space="preserve">Please provide a link to the documentation that explains users configure cross-account acess (in the partner response cell E129). </t>
  </si>
  <si>
    <t>Okay. You can optionally add notes or comments in the 'Partner Response' cell in white above.</t>
  </si>
  <si>
    <t>Please specify the solution RPO time in the 'Partner Response' cell in white above.</t>
  </si>
  <si>
    <t>Please specify the solution RTO time in the 'Partner Response' cell in white above.</t>
  </si>
  <si>
    <t>Please specify the date when the last resiliency testing exercise was conducted, and were the RTO and RPO met? (in the 'Partner Response' cell in white above).</t>
  </si>
  <si>
    <t xml:space="preserve">Please specify when the last data recovery exercise was performed, and what was the recovery time (in the 'Partner Response' cell in white above). </t>
  </si>
  <si>
    <t xml:space="preserve">Please list all components and edge services that are hosted outside of AWS (in the 'Partner Response' cell in white above.). </t>
  </si>
  <si>
    <t>AWS recommends that production accounts use Business support or greater to receive help from AWS support. 
Otherwise, please specify your action plan to handle issues which require help from AWS support (in the 'Partner Response' cell in white above).</t>
  </si>
  <si>
    <t>Please specify use cases when the root account is used (in the 'Partner Response' cell in white above).</t>
  </si>
  <si>
    <r>
      <rPr>
        <b/>
        <sz val="10"/>
        <color rgb="FF000000"/>
        <rFont val="Calibri"/>
        <family val="2"/>
      </rPr>
      <t>You are not required to complete the remaining FTR controls.</t>
    </r>
    <r>
      <rPr>
        <sz val="10"/>
        <color rgb="FF000000"/>
        <rFont val="Calibri"/>
        <family val="2"/>
      </rPr>
      <t xml:space="preserve"> 
To receive an FTR WAFR waiver please: 1/ Upload the WAR report as part of the FTR submission, along with this self-assessment checklist. 2/ Provide the email address of the AWS employee that conducted your WAFR in the 'Partner Response' cell in white above. </t>
    </r>
  </si>
  <si>
    <r>
      <rPr>
        <b/>
        <sz val="24"/>
        <rFont val="Calibri"/>
        <family val="2"/>
      </rPr>
      <t>Partner Hosted FTR Requirements</t>
    </r>
    <r>
      <rPr>
        <sz val="14"/>
        <rFont val="Calibri"/>
        <family val="2"/>
      </rPr>
      <t xml:space="preserve"> 
The following requirements apply to any components hosted and operated by the AWS Partner in their own AWS account. The controls which include a Center for Internet Security(CIS) benchmark ID are covered by the automated AWS account scan, </t>
    </r>
    <r>
      <rPr>
        <sz val="14"/>
        <color theme="4"/>
        <rFont val="Calibri"/>
        <family val="2"/>
      </rPr>
      <t>please attach your CIS Benchmark report to prevent any delays in processing your FTR request</t>
    </r>
    <r>
      <rPr>
        <sz val="14"/>
        <rFont val="Calibri"/>
        <family val="2"/>
      </rPr>
      <t xml:space="preserve">. </t>
    </r>
    <r>
      <rPr>
        <b/>
        <sz val="14"/>
        <rFont val="Calibri"/>
        <family val="2"/>
      </rPr>
      <t xml:space="preserve">The cells highlighted in grey are not editable, the field is auto generated. </t>
    </r>
  </si>
  <si>
    <r>
      <t>Please delete all static access keys for all root user acounts before submitting the FTR.</t>
    </r>
    <r>
      <rPr>
        <sz val="10"/>
        <color rgb="FFFF0000"/>
        <rFont val="Calibri"/>
        <family val="2"/>
      </rPr>
      <t xml:space="preserve"> </t>
    </r>
  </si>
  <si>
    <t>CIS Benchmark Report</t>
  </si>
  <si>
    <t xml:space="preserve">Have you completed a CIS benchmark report and do you plan to attach it in the FTR request form in Partner Central? </t>
  </si>
  <si>
    <t xml:space="preserve">While the CIS benchmark report is optional, not submitting it will prolong the processing time for your FTR request and necessitate a call with an AWS PSA for approval. </t>
  </si>
  <si>
    <t xml:space="preserve">Partner Response / Guidance </t>
  </si>
  <si>
    <t xml:space="preserve">Thank you for submitting a CIS Benchmark report along with your FTR request. </t>
  </si>
  <si>
    <r>
      <rPr>
        <b/>
        <sz val="24"/>
        <rFont val="Calibri"/>
        <family val="2"/>
      </rPr>
      <t>FTR Calibration Guide</t>
    </r>
    <r>
      <rPr>
        <sz val="14"/>
        <rFont val="Calibri"/>
        <family val="2"/>
      </rPr>
      <t xml:space="preserve"> 
This calibration guide is intended for AWS partners who have applied or are interested in the Foundational Technical Review for Partner Hosted Solution. The calibration guide provides clarity on the requirements, criteria for meeting the requirements, and why the requirements are important. It helps partner improve application quality and reduce cycle time during the technical validation process. Additionally, partners can use the best practices in this technical guide to improve their Software Offering. </t>
    </r>
  </si>
  <si>
    <t>Criteria for passing this control</t>
  </si>
  <si>
    <t xml:space="preserve">Why is this important? </t>
  </si>
  <si>
    <t xml:space="preserve">Examples of unacceptable practice </t>
  </si>
  <si>
    <t xml:space="preserve">Technical enablement resources </t>
  </si>
  <si>
    <t>•	Application entirely runs on another public cloud and integrates with AWS
•	Core components running on another public cloud
•	Control plane running on another public cloud</t>
  </si>
  <si>
    <t>N/A</t>
  </si>
  <si>
    <r>
      <t>Partners may encounter issues which will require AWS support to resolve. In addition, AWS Support provides a mix of tools and technology, people, and programs designed to proactively help Partners optimize performance, lower costs, and innovate faster. AWS Business Support (</t>
    </r>
    <r>
      <rPr>
        <sz val="14"/>
        <color theme="4"/>
        <rFont val="Calibri"/>
        <family val="2"/>
      </rPr>
      <t>https://aws.amazon.com/premiumsupport/plans/business/</t>
    </r>
    <r>
      <rPr>
        <sz val="14"/>
        <color rgb="FF000000"/>
        <rFont val="Calibri"/>
        <family val="2"/>
      </rPr>
      <t>) provides additional benefits including access to AWS Trusted Advisor (</t>
    </r>
    <r>
      <rPr>
        <sz val="14"/>
        <color theme="4"/>
        <rFont val="Calibri"/>
        <family val="2"/>
      </rPr>
      <t>https://aws.amazon.com/premiumsupport/technology/trusted-advisor/</t>
    </r>
    <r>
      <rPr>
        <sz val="14"/>
        <color rgb="FF000000"/>
        <rFont val="Calibri"/>
        <family val="2"/>
      </rPr>
      <t>) and AWS Personal Health Dashboard (</t>
    </r>
    <r>
      <rPr>
        <sz val="14"/>
        <color theme="4"/>
        <rFont val="Calibri"/>
        <family val="2"/>
      </rPr>
      <t>https://aws.amazon.com/premiumsupport/technology/aws-health/</t>
    </r>
    <r>
      <rPr>
        <sz val="14"/>
        <color rgb="FF000000"/>
        <rFont val="Calibri"/>
        <family val="2"/>
      </rPr>
      <t>) and faster response times.</t>
    </r>
  </si>
  <si>
    <r>
      <t>•	Business Support (</t>
    </r>
    <r>
      <rPr>
        <sz val="14"/>
        <color theme="4"/>
        <rFont val="Calibri"/>
        <family val="2"/>
      </rPr>
      <t>https://aws.amazon.com/premiumsupport/plans/business/</t>
    </r>
    <r>
      <rPr>
        <sz val="14"/>
        <color rgb="FF000000"/>
        <rFont val="Calibri"/>
        <family val="2"/>
      </rPr>
      <t>)
•	Enabling AWS Business Support (</t>
    </r>
    <r>
      <rPr>
        <sz val="14"/>
        <color theme="4"/>
        <rFont val="Calibri"/>
        <family val="2"/>
      </rPr>
      <t>https://repost.aws/knowledge-center/sign-up-support</t>
    </r>
    <r>
      <rPr>
        <sz val="14"/>
        <color rgb="FF000000"/>
        <rFont val="Calibri"/>
        <family val="2"/>
      </rPr>
      <t xml:space="preserve">)        
•	AWS Trusted Advisor </t>
    </r>
    <r>
      <rPr>
        <sz val="14"/>
        <color theme="4"/>
        <rFont val="Calibri"/>
        <family val="2"/>
      </rPr>
      <t>(https://aws.amazon.com/premiumsupport/technology/trusted-advisor/</t>
    </r>
    <r>
      <rPr>
        <sz val="14"/>
        <color rgb="FF000000"/>
        <rFont val="Calibri"/>
        <family val="2"/>
      </rPr>
      <t>) 
•	AWS Personal Health Dashboard (</t>
    </r>
    <r>
      <rPr>
        <sz val="14"/>
        <color theme="4"/>
        <rFont val="Calibri"/>
        <family val="2"/>
      </rPr>
      <t>https://aws.amazon.com/premiumsupport/technology/aws-health/</t>
    </r>
    <r>
      <rPr>
        <sz val="14"/>
        <color rgb="FF000000"/>
        <rFont val="Calibri"/>
        <family val="2"/>
      </rPr>
      <t xml:space="preserve">) </t>
    </r>
  </si>
  <si>
    <r>
      <t xml:space="preserve">•	</t>
    </r>
    <r>
      <rPr>
        <sz val="14"/>
        <color rgb="FF000000"/>
        <rFont val="Calibri"/>
        <family val="2"/>
      </rPr>
      <t>Partner either subscribes to AWS Premium support or have an action plan to handle issues which require AWS Support.</t>
    </r>
  </si>
  <si>
    <t>•	Partner does not subscribe to premium support and does not have an action plan to handle issues which require AWS Support.</t>
  </si>
  <si>
    <t>Over time application architectures evolve as new features are implemented. It is important to periodically validate that all architecture best practices are followed and the architecture is fit for purpose.</t>
  </si>
  <si>
    <t>Partner has conducted at least one architecture review within the year prior to FTR review and has a process in place for periodic architecture review.</t>
  </si>
  <si>
    <r>
      <t>•	AWS Well Architected (</t>
    </r>
    <r>
      <rPr>
        <sz val="14"/>
        <color theme="4"/>
        <rFont val="Calibri"/>
        <family val="2"/>
      </rPr>
      <t>https://aws.amazon.com/architecture/well-architected/</t>
    </r>
    <r>
      <rPr>
        <sz val="14"/>
        <color rgb="FF000000"/>
        <rFont val="Calibri"/>
        <family val="2"/>
      </rPr>
      <t>)</t>
    </r>
  </si>
  <si>
    <r>
      <t xml:space="preserve">•	</t>
    </r>
    <r>
      <rPr>
        <sz val="14"/>
        <color rgb="FF000000"/>
        <rFont val="Calibri"/>
        <family val="2"/>
      </rPr>
      <t>Partner conducts periodic architecture review using an internally defined review process or WAFR.</t>
    </r>
  </si>
  <si>
    <r>
      <t xml:space="preserve">•	</t>
    </r>
    <r>
      <rPr>
        <sz val="14"/>
        <color rgb="FF000000"/>
        <rFont val="Calibri"/>
        <family val="2"/>
      </rPr>
      <t>Partner does not have a process to do periodic architecture review.</t>
    </r>
  </si>
  <si>
    <t>Partner must have reviewed AWS Shared Responsibility Model for Security and the AWS Shared Responsibility Model for Resiliency before the FTR review and attest to it.</t>
  </si>
  <si>
    <t>AWS is responsible for resiliency of the infrastructure that runs all of the services offered in the AWS Cloud. This infrastructure comprises of the hardware, software, networking, and facilities that run AWS Cloud services. Partner is responsible for selecting appropriate services and configuration to meet their resiliency requirements. It is important for Partners to understand what they are responsible for and address them.</t>
  </si>
  <si>
    <r>
      <t xml:space="preserve">•	</t>
    </r>
    <r>
      <rPr>
        <sz val="14"/>
        <color rgb="FF000000"/>
        <rFont val="Calibri"/>
        <family val="2"/>
      </rPr>
      <t>Partner can confirm that they have reviewed and understood the shared responsibility model.</t>
    </r>
  </si>
  <si>
    <t>•	No confirmation</t>
  </si>
  <si>
    <r>
      <t>•	AWS Shared Responsibility Model for Security (</t>
    </r>
    <r>
      <rPr>
        <sz val="14"/>
        <color theme="4"/>
        <rFont val="Calibri"/>
        <family val="2"/>
      </rPr>
      <t>https://docs.aws.amazon.com/whitepapers/latest/aws-risk-and-compliance/shared-responsibility-model.html</t>
    </r>
    <r>
      <rPr>
        <sz val="14"/>
        <color rgb="FF000000"/>
        <rFont val="Calibri"/>
        <family val="2"/>
      </rPr>
      <t>)  
•	AWS Shared Responsibility Model for Resiliency (</t>
    </r>
    <r>
      <rPr>
        <sz val="14"/>
        <color theme="4"/>
        <rFont val="Calibri"/>
        <family val="2"/>
      </rPr>
      <t>https://docs.aws.amazon.com/whitepapers/latest/disaster-recovery-workloads-on-aws/shared-responsibility-model-for-resiliency.html</t>
    </r>
    <r>
      <rPr>
        <sz val="14"/>
        <color rgb="FF000000"/>
        <rFont val="Calibri"/>
        <family val="2"/>
      </rPr>
      <t>)</t>
    </r>
  </si>
  <si>
    <t xml:space="preserve">•	Root user is used for routine tasks.  Root user is only used by one person for routine tasks. </t>
  </si>
  <si>
    <r>
      <t>•	Root user tasks (</t>
    </r>
    <r>
      <rPr>
        <sz val="14"/>
        <color theme="4"/>
        <rFont val="Calibri"/>
        <family val="2"/>
      </rPr>
      <t>https://docs.aws.amazon.com/accounts/latest/reference/root-user-tasks.html</t>
    </r>
    <r>
      <rPr>
        <sz val="14"/>
        <color rgb="FF000000"/>
        <rFont val="Calibri"/>
        <family val="2"/>
      </rPr>
      <t>)
•	AWS Tasks That Require Root User (</t>
    </r>
    <r>
      <rPr>
        <sz val="14"/>
        <color theme="4"/>
        <rFont val="Calibri"/>
        <family val="2"/>
      </rPr>
      <t>https://docs.aws.amazon.com/general/latest/gr/aws_tasks-that-require-root.html</t>
    </r>
    <r>
      <rPr>
        <sz val="14"/>
        <color rgb="FF000000"/>
        <rFont val="Calibri"/>
        <family val="2"/>
      </rPr>
      <t>)
•	Security best practices in IAM (</t>
    </r>
    <r>
      <rPr>
        <sz val="14"/>
        <color theme="4"/>
        <rFont val="Calibri"/>
        <family val="2"/>
      </rPr>
      <t>https://docs.aws.amazon.com/IAM/latest/UserGuide/best-practices.html#create-iam-users</t>
    </r>
    <r>
      <rPr>
        <sz val="14"/>
        <color rgb="FF000000"/>
        <rFont val="Calibri"/>
        <family val="2"/>
      </rPr>
      <t>)</t>
    </r>
  </si>
  <si>
    <t>The root user has unlimited access to AWS accounts and their resources. A lost/compromised access key for a root user can be used by bad actors to get unlimited access to AWS account.</t>
  </si>
  <si>
    <t xml:space="preserve">Partner must not have any access keys set on the root users and should never be using the root user for programmatic access to AWS API’s. </t>
  </si>
  <si>
    <t>•	Root users do not have access keys.</t>
  </si>
  <si>
    <t>•	Partner uses root user access keys to access only CloudWatch service.</t>
  </si>
  <si>
    <t>•	Best practices to protect your account's root user (https://docs.aws.amazon.com/accounts/latest/reference/best-practices-root-user.html)</t>
  </si>
  <si>
    <t>An incident management plan is critical to respond, mitigate, and recover from the potential impact of security incidents. An incident management plan is a structured process for identifying, remediating, and responding in a timely matter to security incidents. 
Developing thorough and clearly defined incident response processes is key to a successful and scalable incident response program. When a security event occurs, clear steps and workflows will help you to respond in a timely manner. You might already have existing incident response processes. Regardless of your current state, it’s important to update, iterate, and test your incident response processes regularly.</t>
  </si>
  <si>
    <t>Partner must have an incident response plan to recover from root user credential misuse. It should include the steps to reset the root user password. The incident response plan must cover all the areas as mentioned in the example runbook.</t>
  </si>
  <si>
    <t>•	Partner has a documented incident response plan.</t>
  </si>
  <si>
    <t xml:space="preserve">•	Partner does not have an incident response plan. </t>
  </si>
  <si>
    <r>
      <t xml:space="preserve">•	Incident management plans. </t>
    </r>
    <r>
      <rPr>
        <sz val="14"/>
        <color theme="4"/>
        <rFont val="Calibri"/>
        <family val="2"/>
      </rPr>
      <t>(https://docs.aws.amazon.com/wellarchitected/latest/security-pillar/sec_incident_response_develop_management_plans.html</t>
    </r>
    <r>
      <rPr>
        <sz val="14"/>
        <color rgb="FF000000"/>
        <rFont val="Calibri"/>
        <family val="2"/>
      </rPr>
      <t>)</t>
    </r>
  </si>
  <si>
    <t>AWS uses this contact information to send notifications for events related to security, billing, operation etc. It is critical that these notifications are received by the right individuals and are acted upon in timely fashion.</t>
  </si>
  <si>
    <t>•	Account contacts are set for all AWS accounts which are not managed by Organization.</t>
  </si>
  <si>
    <t>•	Account contacts are not set for all AWS accounts which are not managed by Organization.</t>
  </si>
  <si>
    <t xml:space="preserve">Partner has alternate contacts set for all AWS accounts which are not managed by AWS Organizations. </t>
  </si>
  <si>
    <r>
      <t>•	Alternate contacts (</t>
    </r>
    <r>
      <rPr>
        <sz val="14"/>
        <color theme="4"/>
        <rFont val="Calibri"/>
        <family val="2"/>
      </rPr>
      <t>https://docs.aws.amazon.com/awsaccountbilling/latest/aboutv2/manage-account-payment.html#account-contacts</t>
    </r>
    <r>
      <rPr>
        <sz val="14"/>
        <color rgb="FF000000"/>
        <rFont val="Calibri"/>
        <family val="2"/>
      </rPr>
      <t>)</t>
    </r>
  </si>
  <si>
    <t>It is important that the Partner owns the email and the phone number so it is not dependent on an employee. If these assets are owned by the employee and they leave, it will make it difficult to access them.</t>
  </si>
  <si>
    <t>Partner must use an email and a phone number that is owned by Partner (not personal contact information).</t>
  </si>
  <si>
    <t>•	Email and the phone number used to create AWS account is owned by the Partner organization.</t>
  </si>
  <si>
    <t xml:space="preserve">•	CTOs Gmail account and cell phone number were used to create AWS Account. </t>
  </si>
  <si>
    <r>
      <t>•	Creating an AWS account (</t>
    </r>
    <r>
      <rPr>
        <sz val="14"/>
        <color theme="4"/>
        <rFont val="Calibri"/>
        <family val="2"/>
      </rPr>
      <t>https://docs.aws.amazon.com/accounts/latest/reference/manage-acct-creating.html</t>
    </r>
    <r>
      <rPr>
        <sz val="14"/>
        <color rgb="FF000000"/>
        <rFont val="Calibri"/>
        <family val="2"/>
      </rPr>
      <t>)</t>
    </r>
  </si>
  <si>
    <t>The use of Multi-Factor Authentication (MFA) for all Human Identifies is important because it significantly enhances security by requiring Partner employees to provide at least two different forms of authentication to verify their identity. This helps protect their AWS environment from unauthorized access even if one authentication factor is compromised.</t>
  </si>
  <si>
    <t>All Human Identities with AWS Access have MFA enabled.</t>
  </si>
  <si>
    <t>Partner explains how they have MFA configured for all Human Identities with access to their AWS Environment.
“We are coming in with AWS SSO. All our identities are managed on Active Directory. Users register their MFA devices themselves. We have a corporate policy that mandates the use of MFA devices. We are coming in with AWS SSO. All our identities are managed on Active Directory. Users register their MFA devices themselves. We have a corporate policy that mandates the use of MFA devices.”</t>
  </si>
  <si>
    <t>Partner does not have mandatory MFA configured for all Human Identities with access to their AWS Environment.</t>
  </si>
  <si>
    <r>
      <t>•	Enabling a virtual multi-factor authentication (MFA) device (console) (</t>
    </r>
    <r>
      <rPr>
        <sz val="14"/>
        <color theme="4"/>
        <rFont val="Calibri"/>
        <family val="2"/>
      </rPr>
      <t>https://docs.aws.amazon.com/IAM/latest/UserGuide/id_credentials_mfa_enable_virtual.html</t>
    </r>
    <r>
      <rPr>
        <sz val="14"/>
        <color rgb="FF000000"/>
        <rFont val="Calibri"/>
        <family val="2"/>
      </rPr>
      <t>)
•	Enable multi-factor authentication for AWS Managed Microsoft AD (</t>
    </r>
    <r>
      <rPr>
        <sz val="14"/>
        <color theme="4"/>
        <rFont val="Calibri"/>
        <family val="2"/>
      </rPr>
      <t>https://docs.aws.amazon.com/directoryservice/latest/admin-guide/ms_ad_mfa.html</t>
    </r>
    <r>
      <rPr>
        <sz val="14"/>
        <color rgb="FF000000"/>
        <rFont val="Calibri"/>
        <family val="2"/>
      </rPr>
      <t>)
•	Enable multi-factor authentication for AD Connector (</t>
    </r>
    <r>
      <rPr>
        <sz val="14"/>
        <color theme="4"/>
        <rFont val="Calibri"/>
        <family val="2"/>
      </rPr>
      <t>https://docs.aws.amazon.com/directoryservice/latest/admin-guide/ad_connector_mfa.html</t>
    </r>
    <r>
      <rPr>
        <sz val="14"/>
        <color rgb="FF000000"/>
        <rFont val="Calibri"/>
        <family val="2"/>
      </rPr>
      <t>)</t>
    </r>
  </si>
  <si>
    <t xml:space="preserve">Monitor and secure static AWS Identity and Access Management (IAM) credentials (CIS 1.14/Security Control IAM.3).
</t>
  </si>
  <si>
    <t xml:space="preserve">Enable multi-factor authentication (MFA) for all Human Identities with AWS access (CIS 1.10/Security Control IAM.5).
</t>
  </si>
  <si>
    <t xml:space="preserve">Remove access keys for the root user (CIS 1.4/Security Control IAM.4).
 </t>
  </si>
  <si>
    <t xml:space="preserve">Use strong password policy (CIS 1.8/Security Control IAM.15 and CIS 1.9/Security Control IAM.16).
</t>
  </si>
  <si>
    <t xml:space="preserve">Grant least privilege access (CIS 1.16/Security Control IAM.1).
</t>
  </si>
  <si>
    <t>Temporary security credentials are short-term, as the name implies. They can be configured to last for anywhere from a few minutes to several hours. After the credentials expire, AWS no longer recognizes them or allows any kind of access from API requests made with them. Thus, when they expire the user will require new credentials. In case there is a need to use IAM access keys in such scenario, there needs to be a process in place to maintain an inventory of such keys and monitor activity on them using AWS GuardDuty . Additionally, incase a misuse is detected it is preferred to have an SOP in place to take necessary action to avoid any un-necessary downtime/loss to application.</t>
  </si>
  <si>
    <t>Partner is able to explain if they are using temporary credentials or how they are rotating any existing IAM Access Keys regularly (maximum every 90 days)
“We use temporary credentials and have some IAM Access Keys being used and we make sure to rotate them every 90 days. We are leveraging AWS Config to manage aged access keys and automate their rotation with Lambda.”</t>
  </si>
  <si>
    <t>Partner is not rotating IAM Access Keys regularly or doesn’t have a defined strategy to ensure its rotation.
“We have Access Keys but rotate them twice per year.”</t>
  </si>
  <si>
    <t>Partner must use temporary IAM credentials whenever possible. In case the same is not possible, partner can consider rotating IAM access keys regularly (recommended at least every 90 days), maintain inventory of static keys to keep track in case there is a misuse. Further, partner should also have a monitoring to detect such misuse and an SOP in place to revoke the credentials in such event.</t>
  </si>
  <si>
    <r>
      <t>•	Rotating Access Keys (</t>
    </r>
    <r>
      <rPr>
        <sz val="14"/>
        <color theme="4"/>
        <rFont val="Calibri"/>
        <family val="2"/>
      </rPr>
      <t>https://docs.aws.amazon.com/IAM/latest/UserGuide/id_credentials_access-keys.html#Using_RotateAccessKey</t>
    </r>
    <r>
      <rPr>
        <sz val="14"/>
        <color rgb="FF000000"/>
        <rFont val="Calibri"/>
        <family val="2"/>
      </rPr>
      <t>)
•	Automatically rotate IAM user access keys at scale with AWS Organizations and AWS Secrets Manager (</t>
    </r>
    <r>
      <rPr>
        <sz val="14"/>
        <color theme="4"/>
        <rFont val="Calibri"/>
        <family val="2"/>
      </rPr>
      <t>https://docs.aws.amazon.com/prescriptive-guidance/latest/patterns/automatically-rotate-iam-user-access-keys-at-scale-with-aws-organizations-and-aws-secrets-manager.html</t>
    </r>
    <r>
      <rPr>
        <sz val="14"/>
        <color rgb="FF000000"/>
        <rFont val="Calibri"/>
        <family val="2"/>
      </rPr>
      <t>)
•	Managing aged access keys through AWS Config Remediations. (</t>
    </r>
    <r>
      <rPr>
        <sz val="14"/>
        <color theme="4"/>
        <rFont val="Calibri"/>
        <family val="2"/>
      </rPr>
      <t>https://aws.amazon.com/blogs/mt/managing-aged-access-keys-through-aws-config-remediations/</t>
    </r>
    <r>
      <rPr>
        <sz val="14"/>
        <color rgb="FF000000"/>
        <rFont val="Calibri"/>
        <family val="2"/>
      </rPr>
      <t>)
•	Temporary security credentials in IAM (</t>
    </r>
    <r>
      <rPr>
        <sz val="14"/>
        <color theme="4"/>
        <rFont val="Calibri"/>
        <family val="2"/>
      </rPr>
      <t>https://docs.aws.amazon.com/IAM/latest/UserGuide/id_credentials_temp.html</t>
    </r>
    <r>
      <rPr>
        <sz val="14"/>
        <color rgb="FF000000"/>
        <rFont val="Calibri"/>
        <family val="2"/>
      </rPr>
      <t>)</t>
    </r>
  </si>
  <si>
    <t>A strong password policy in enforced. It is recommended that password policy comprises of minimum length, whether it requires non-alphabetic characters and upper case etc.</t>
  </si>
  <si>
    <t xml:space="preserve">By implementing a strong password policy for active IAM Users, the business makes it more difficult for malicious parties to gain access to your confidential data and customer’s AWS environments. </t>
  </si>
  <si>
    <t xml:space="preserve">Partner is able to explain their IAM password policy strategy and it is sound. 
“We have a strong password policy configured which includes making sure no reuse of password is allowed, requiring a minimum length of 14 characters, and renewal every 90 days.” </t>
  </si>
  <si>
    <t>Partner does not have strong IAM password policy in place.
“We have not made any configuration changes to our IAM password policy.”</t>
  </si>
  <si>
    <r>
      <t>•	Setting an Account Password Policy for IAM Users (</t>
    </r>
    <r>
      <rPr>
        <sz val="14"/>
        <color theme="4"/>
        <rFont val="Calibri"/>
        <family val="2"/>
      </rPr>
      <t>https://docs.aws.amazon.com/IAM/latest/UserGuide/id_credentials_passwords_account-policy.html</t>
    </r>
    <r>
      <rPr>
        <sz val="14"/>
        <color rgb="FF000000"/>
        <rFont val="Calibri"/>
        <family val="2"/>
      </rPr>
      <t>)
•	Security best practices in IAM (</t>
    </r>
    <r>
      <rPr>
        <sz val="14"/>
        <color theme="4"/>
        <rFont val="Calibri"/>
        <family val="2"/>
      </rPr>
      <t>https://docs.aws.amazon.com/IAM/latest/UserGuide/best-practices.html</t>
    </r>
    <r>
      <rPr>
        <sz val="14"/>
        <color rgb="FF000000"/>
        <rFont val="Calibri"/>
        <family val="2"/>
      </rPr>
      <t>)</t>
    </r>
  </si>
  <si>
    <t>Multiple users are not using the same credentials for accessing the account. Each user should be given unique set of security credentials and permissions.</t>
  </si>
  <si>
    <t>Creating individual identities and making sure no human IAM credentials are being shared helps partner organization to give each of their user’s accountability, separate permissions and auditing of individual activity. At the same time, it will improve their compliance position against regulatory frameworks like GDPR, HIPAA, and PCI DSS.</t>
  </si>
  <si>
    <t>Partner is able to confirm they do not have 1) shared credentials with multiple humans or 2) cases where humans are sharing IAM credentials with applications.
“We are using AWS SSO and confirm we have no cases of multiple humans using shared credentials.”</t>
  </si>
  <si>
    <t>Partner has shared credentials in place.
“We currently have a shared IAM User for our engineering team where they are on-call.”</t>
  </si>
  <si>
    <r>
      <t>•	View activity of IAM users, roles, and Access Keys (</t>
    </r>
    <r>
      <rPr>
        <sz val="14"/>
        <color theme="4"/>
        <rFont val="Calibri"/>
        <family val="2"/>
      </rPr>
      <t>https://repost.aws/knowledge-center/view-iam-history</t>
    </r>
    <r>
      <rPr>
        <sz val="14"/>
        <color rgb="FF000000"/>
        <rFont val="Calibri"/>
        <family val="2"/>
      </rPr>
      <t>)</t>
    </r>
  </si>
  <si>
    <t>The partner uses IAM roles with temporary security credentials to grant access to entities external to their organization, instead of providing them IAM users with long-term credentials.</t>
  </si>
  <si>
    <t>It is important to leverage temporary credentials through IAM Roles instead of sharing IAM Access Keys because they offer a better security stance. The security credentials used through IAM Roles are temporary, generated automatically and rotated frequently. At the same time, leveraging Roles eliminates the need for Access Keys management.</t>
  </si>
  <si>
    <t>Partner is able to explain whether or not they provide access to their AWS environment to third parties, and explain how they are using IAM Roles and external IDs.
“We give access to a third-party solution to monitor our logs within the AWS Environment. We made sure to g=follow best practices using IAM Roles and External IDs, and any Access Keys used before have been deprecated.”</t>
  </si>
  <si>
    <t>Partner does not clarify if they give access to their AWS Environment to third parties or if they do, they are not leveraging temporary credentials for it.
“We have one IAM User that we share with third parties whenever they need to access our AWS Environment.”</t>
  </si>
  <si>
    <r>
      <t>•	Providing access to AWS accounts owned by third parties (</t>
    </r>
    <r>
      <rPr>
        <sz val="14"/>
        <color theme="4"/>
        <rFont val="Calibri"/>
        <family val="2"/>
      </rPr>
      <t>https://docs.aws.amazon.com/IAM/latest/UserGuide/id_roles_common-scenarios_third-party.html</t>
    </r>
    <r>
      <rPr>
        <sz val="14"/>
        <color rgb="FF000000"/>
        <rFont val="Calibri"/>
        <family val="2"/>
      </rPr>
      <t>)
•	How to use an external ID when granting access to your AWS resources to a third party (</t>
    </r>
    <r>
      <rPr>
        <sz val="14"/>
        <color theme="4"/>
        <rFont val="Calibri"/>
        <family val="2"/>
      </rPr>
      <t>https://docs.aws.amazon.com/IAM/latest/UserGuide/id_roles_create_for-user_externalid.html</t>
    </r>
    <r>
      <rPr>
        <sz val="14"/>
        <color rgb="FF000000"/>
        <rFont val="Calibri"/>
        <family val="2"/>
      </rPr>
      <t>)</t>
    </r>
  </si>
  <si>
    <t xml:space="preserve">The partner grants minimum access to all entities that interact with AWS resources. The policies set up should seldom/ never have wildcard( ‘*’ )for permissions/resources unless it is warranted. </t>
  </si>
  <si>
    <t>• Partner has AWS Business or Enterprise support OR Partner Led Support
• Partners has an action plan to handle issues which require AWS support. This may include having a long SLA with customers which allows them to use developer support and a strategy to enable support when they have their first incident which require AWS support.</t>
  </si>
  <si>
    <t xml:space="preserve">The principle of least privilege is a security concept which maintains that a user or entity should only have access to the specific data, resources, and applications needed to complete a required task. Least privilege is also one of many best practices in the AWS Well-Architected framework that can help partners build securely in the cloud. </t>
  </si>
  <si>
    <t>Partner is able to explain their strategy to implement the least privilege access principle within their AWS environment. 
“We follow AWS Best Practices to ensure we apply the least privilege access principle in our systems. We are leveraging IAM Access Analyzer, SCPs, and also check there are not active wildcard IAM policies created or attached.”</t>
  </si>
  <si>
    <t xml:space="preserve">Partner is not applying the least privilege access principle and has wildcard IAM policies and permissions assigned to different identities.
“We currently have two wildcard policies that are active.”
</t>
  </si>
  <si>
    <r>
      <t>•	Techniques for writing least privilege IAM policies (</t>
    </r>
    <r>
      <rPr>
        <sz val="14"/>
        <color theme="4"/>
        <rFont val="Calibri"/>
        <family val="2"/>
      </rPr>
      <t>https://aws.amazon.com/blogs/security/techniques-for-writing-least-privilege-iam-policies/#:~:text=Least%20privilege%20is%20a%20principle,build%20securely%20in%20the%20cloud.</t>
    </r>
    <r>
      <rPr>
        <sz val="14"/>
        <color rgb="FF000000"/>
        <rFont val="Calibri"/>
        <family val="2"/>
      </rPr>
      <t>)
•	AWS Security blog: Least privilege (</t>
    </r>
    <r>
      <rPr>
        <sz val="14"/>
        <color theme="4"/>
        <rFont val="Calibri"/>
        <family val="2"/>
      </rPr>
      <t>https://aws.amazon.com/blogs/security/tag/least-privilege/</t>
    </r>
    <r>
      <rPr>
        <sz val="14"/>
        <color rgb="FF000000"/>
        <rFont val="Calibri"/>
        <family val="2"/>
      </rPr>
      <t>)
•	IAM Access Analyzer makes it easier to implement least privilege permissions by generating IAM policies based on access activity (</t>
    </r>
    <r>
      <rPr>
        <sz val="14"/>
        <color theme="4"/>
        <rFont val="Calibri"/>
        <family val="2"/>
      </rPr>
      <t>https://aws.amazon.com/blogs/security/iam-access-analyzer-makes-it-easier-to-implement-least-privilege-permissions-by-generating-iam-policies-based-on-access-activity/</t>
    </r>
    <r>
      <rPr>
        <sz val="14"/>
        <color rgb="FF000000"/>
        <rFont val="Calibri"/>
        <family val="2"/>
      </rPr>
      <t>)</t>
    </r>
  </si>
  <si>
    <t>Having a formal, documented offboarding process to modify or revoke access when an employee leaves the company or changes role is essential to ensure the least privilege access principle is sustained. Additionally, having this process helps to ensure consistency and reduce human errors when revoking or modifying an employee’s access or permissions.</t>
  </si>
  <si>
    <t>The partner has a formal, documented offboarding process to modify or revoke access when an individual changes role or leaves the company. This may be at the identity provider level, if the partner federates access, or at the native IAM user level.</t>
  </si>
  <si>
    <t>Partner is able to explain how they ensure this mechanism is in place.
“We manage the life cycle of identities in our AD. We have mechanisms in place to ensure that leavers are removed from AD or when individuals move into different departments then their AD permissions are updated as well.”</t>
  </si>
  <si>
    <t>Partner does not have a sound strategy to manage access based on a life cycle.
“Our current offboarding/internal transfer process relies on manual human intervention for which we do not have documentation prepared.”</t>
  </si>
  <si>
    <r>
      <t>•	Using Active Directory to authenticate users (</t>
    </r>
    <r>
      <rPr>
        <sz val="14"/>
        <color theme="4"/>
        <rFont val="Calibri"/>
        <family val="2"/>
      </rPr>
      <t>https://docs.aws.amazon.com/filegateway/latest/files3/enable-ad-settings.html</t>
    </r>
    <r>
      <rPr>
        <sz val="14"/>
        <color rgb="FF000000"/>
        <rFont val="Calibri"/>
        <family val="2"/>
      </rPr>
      <t>)
•	Integration with Microsoft Active Directory (</t>
    </r>
    <r>
      <rPr>
        <sz val="14"/>
        <color theme="4"/>
        <rFont val="Calibri"/>
        <family val="2"/>
      </rPr>
      <t>https://docs.aws.amazon.com/whitepapers/latest/best-practices-for-deploying-amazon-appstream-2/integration-with-microsoft-active-directory.html</t>
    </r>
    <r>
      <rPr>
        <sz val="14"/>
        <color rgb="FF000000"/>
        <rFont val="Calibri"/>
        <family val="2"/>
      </rPr>
      <t>)</t>
    </r>
  </si>
  <si>
    <t>The partner has a formal, documented process for auditing identities. Partner should have a process in place to audit permissions and modify and remove any unused permissions.</t>
  </si>
  <si>
    <t>Auditing your identities that access your AWS environment is crucial for maintaining security, compliance, and operational efficiency. Regular audits (at least quarterly) help Partners to uncover potential security risks, and ensure that users have the appropriate permissions based on their roles and needs. It ultimate improves safeguarding sensitive data, resources, and access to your applications.</t>
  </si>
  <si>
    <t>Partner provides attestation that they audit identities quarterly.
“As a 270001 certified company, we review our identities regularly.”</t>
  </si>
  <si>
    <t>Partner does not audit identities quarterly.
“Currently we are not auditing identifies quarterly but yearly.”</t>
  </si>
  <si>
    <r>
      <t>•	Refining permissions in AWS using last accessed information (</t>
    </r>
    <r>
      <rPr>
        <sz val="14"/>
        <color theme="4"/>
        <rFont val="Calibri"/>
        <family val="2"/>
      </rPr>
      <t>https://docs.aws.amazon.com/IAM/latest/UserGuide/access_policies_access-advisor.html</t>
    </r>
    <r>
      <rPr>
        <sz val="14"/>
        <color rgb="FF000000"/>
        <rFont val="Calibri"/>
        <family val="2"/>
      </rPr>
      <t>)</t>
    </r>
  </si>
  <si>
    <t>Hardcoding your credentials directly into application code poses a severe security risk, as it makes it impossible to provide access to the source code without also providing access to those credentials and make them vulnerable to potential exploits. It is important not only to not hardcode those credentials, but to have preventive and detective controls in place to ensure that cannot be done.</t>
  </si>
  <si>
    <t>The partner does not hardcode in plaintext any credentials or secrets anywhere in their source code. Partner should be using services like AWS secret manager to store the credentials.</t>
  </si>
  <si>
    <t>Partner is able to confirm they do not hard-code any credentials into the code and explains how they are preventing this from happening.
“We keep IAM and database credentials outside of the software code. We use pre-commit hooks GitLab to help us ensure that commits when secrets (when detected in the hook) are detected, which prevents them from entering our git.”</t>
  </si>
  <si>
    <t>Partner has some hard-coded credentials in application code or does not have preventive and detective controls in place to detect those hard-coded credentials.
“We do not hard-code credentials into our application code, but do not have mechanisms in place to stop a commit if it has hard-coded credentials either.”</t>
  </si>
  <si>
    <r>
      <t>•	AWS Secrets Manager: Store, Distribute, and Rotate Credentials Securely (</t>
    </r>
    <r>
      <rPr>
        <sz val="14"/>
        <color theme="4"/>
        <rFont val="Calibri"/>
        <family val="2"/>
      </rPr>
      <t>https://aws.amazon.com/blogs/aws/aws-secrets-manager-store-distribute-and-rotate-credentials-securely/</t>
    </r>
    <r>
      <rPr>
        <sz val="14"/>
        <color rgb="FF000000"/>
        <rFont val="Calibri"/>
        <family val="2"/>
      </rPr>
      <t>) 
•	Securely retrieving secrets with AWS Lambda (</t>
    </r>
    <r>
      <rPr>
        <sz val="14"/>
        <color theme="4"/>
        <rFont val="Calibri"/>
        <family val="2"/>
      </rPr>
      <t>https://aws.amazon.com/blogs/compute/securely-retrieving-secrets-with-aws-lambda/</t>
    </r>
    <r>
      <rPr>
        <sz val="14"/>
        <color rgb="FF000000"/>
        <rFont val="Calibri"/>
        <family val="2"/>
      </rPr>
      <t>)
•	AWS Systems Manager Parameter Store (</t>
    </r>
    <r>
      <rPr>
        <sz val="14"/>
        <color theme="4"/>
        <rFont val="Calibri"/>
        <family val="2"/>
      </rPr>
      <t>https://docs.aws.amazon.com/systems-manager/latest/userguide/systems-manager-parameter-store.html</t>
    </r>
    <r>
      <rPr>
        <sz val="14"/>
        <color rgb="FF000000"/>
        <rFont val="Calibri"/>
        <family val="2"/>
      </rPr>
      <t>)
•	Extend your pre-commit hooks with AWS CloudFormation Guard (</t>
    </r>
    <r>
      <rPr>
        <sz val="14"/>
        <color theme="4"/>
        <rFont val="Calibri"/>
        <family val="2"/>
      </rPr>
      <t>https://aws.amazon.com/blogs/security/extend-your-pre-commit-hooks-with-aws-cloudformation-guard/</t>
    </r>
    <r>
      <rPr>
        <sz val="14"/>
        <color rgb="FF000000"/>
        <rFont val="Calibri"/>
        <family val="2"/>
      </rPr>
      <t>)
•	Use Git pre-commit hooks to avoid AWS CloudFormation errors (</t>
    </r>
    <r>
      <rPr>
        <sz val="14"/>
        <color theme="4"/>
        <rFont val="Calibri"/>
        <family val="2"/>
      </rPr>
      <t>https://aws.amazon.com/blogs/infrastructure-and-automation/use-git-pre-commit-hooks-avoid-aws-cloudformation-errors/</t>
    </r>
    <r>
      <rPr>
        <sz val="14"/>
        <color rgb="FF000000"/>
        <rFont val="Calibri"/>
        <family val="2"/>
      </rPr>
      <t>)</t>
    </r>
  </si>
  <si>
    <t xml:space="preserve">The partner stores credentials or secrets in a specialized key storage service, such as Secrets Manager or an equivalent 3rd party solution. The specialized service encrypts stored credentials at rest.	</t>
  </si>
  <si>
    <t>Storing application secrets securely is vital for protecting sensitive data and maintaining the overall security of Partner’s applications and systems. Application secrets including API keys, database credentials, and encryption keys grant access to critical resources and services. To avoid exploits from exposure, partners need to store those secrets in a solution that meets the criteria defined in this control.</t>
  </si>
  <si>
    <t>Partner is able to explain which solution they use to store secrets and how it complies with the requirements explained in this control.
“We keep secrets in parameter store secure strings or in secrets manager, depending on our use cases.”</t>
  </si>
  <si>
    <t>Partner does not store secrets securely or the solution it uses fails to meet the criteria (encryption in transit and rest, logging access to those secrets, fine-grained access controls.)
“We currently store secrets in in-house solution, but it doesn’t encrypt them at rest and we have not restricted access.”</t>
  </si>
  <si>
    <r>
      <t>•	AWS Secrets Manager: Store, Distribute, and Rotate Credentials Securely (</t>
    </r>
    <r>
      <rPr>
        <sz val="14"/>
        <color theme="4"/>
        <rFont val="Calibri"/>
        <family val="2"/>
      </rPr>
      <t>https://aws.amazon.com/blogs/aws/aws-secrets-manager-store-distribute-and-rotate-credentials-securely/</t>
    </r>
    <r>
      <rPr>
        <sz val="14"/>
        <color rgb="FF000000"/>
        <rFont val="Calibri"/>
        <family val="2"/>
      </rPr>
      <t>)
•	AWS Systems Manager Parameter Store (</t>
    </r>
    <r>
      <rPr>
        <sz val="14"/>
        <color theme="4"/>
        <rFont val="Calibri"/>
        <family val="2"/>
      </rPr>
      <t>https://docs.aws.amazon.com/systems-manager/latest/userguide/systems-manager-parameter-store.html</t>
    </r>
    <r>
      <rPr>
        <sz val="14"/>
        <color rgb="FF000000"/>
        <rFont val="Calibri"/>
        <family val="2"/>
      </rPr>
      <t>)</t>
    </r>
  </si>
  <si>
    <t>If you are storing user/customer credentials in a database you manage, encryption of credentials and hashing of passwords is required as to avoid that in the event of a compromise attackers get access to the passwords. You can either hash the passwords in your application code or with Lambda functions, or as an alternative as suggested in the control use a user identity synchronization service such as Amazon Cognito.</t>
  </si>
  <si>
    <t xml:space="preserve">This requirement applies to solutions that store end user authentication credentials in a data store that the partner manages. Usernames are encrypted at rest and passwords are hashed.	</t>
  </si>
  <si>
    <t xml:space="preserve">Partner is able to explain how they encrypt all the end user/customer credentials and hash passwords at rest or use a user identity synchronization service.
“We are leveraging Cognito to handle user identity synchronization in our application.” </t>
  </si>
  <si>
    <t>Partner does not encrypt user/customer credentials and hash passwords at rest.
“At the moment we are only encrypting those credentials in transit and we are storing passwords as plain text.”</t>
  </si>
  <si>
    <r>
      <t>•	Amazon Cognito (</t>
    </r>
    <r>
      <rPr>
        <sz val="14"/>
        <color theme="4"/>
        <rFont val="Calibri"/>
        <family val="2"/>
      </rPr>
      <t>https://aws.amazon.com/cognito/</t>
    </r>
    <r>
      <rPr>
        <b/>
        <sz val="14"/>
        <color rgb="FF000000"/>
        <rFont val="Calibri"/>
        <family val="2"/>
      </rPr>
      <t>)</t>
    </r>
  </si>
  <si>
    <t>• For AWS machine identities (e.g., AWS EC2 instances, AWS Lambda functions, etc.), always use IAM roles.
• For machine identities running outside of AWS, use IAM Roles Anywhere or securely store static AWS access keys that are only used to assume an IAM role.
• For human identities, use AWS SSO or other identity federation solutions where possible. If partner must use static AWS access keys for human users, require MFA for all access.</t>
  </si>
  <si>
    <t>It is important to leverage temporary credentials through IAM Roles instead of sharing IAM Access Keys because they offer a better security stance. The security credentials used through IAM Roles are temporary, generated automatically and rotated frequently. At the same time, leveraging Roles eliminates the need for Access Keys management. Therefore, leveraging temporary credentials with human and machine identities inside or outside AWS will be the preferred choice to improve partner security and operational efficiency stance.</t>
  </si>
  <si>
    <t>Partner is able to explain which security credentials are used for human and machine identities inside and outside of AWS; and these are compliant with the control descriptions.
“We strive to use temporary credentials whenever possible. We are leveraging only IAM Roles for machine identities within AWS and for human identities we have SSO configured. For machine identities outside of AWS we are currently using IAM User whose only permission is to bootstrap IAM Roles. We are planning on migrating to IAM Roles Anywhere in the future.”</t>
  </si>
  <si>
    <t>Partner strategy is not compliant with the controls description and is not leveraging temporary credentials.
“Currently we have SSO enabled for human identities, but all our applications are using IAM Access Keys and not roles.”</t>
  </si>
  <si>
    <r>
      <t>•	Temporary security credentials in IAM (</t>
    </r>
    <r>
      <rPr>
        <sz val="14"/>
        <color theme="4"/>
        <rFont val="Calibri"/>
        <family val="2"/>
      </rPr>
      <t>https://docs.aws.amazon.com/IAM/latest/UserGuide/id_credentials_temp.html</t>
    </r>
    <r>
      <rPr>
        <sz val="14"/>
        <color rgb="FF000000"/>
        <rFont val="Calibri"/>
        <family val="2"/>
      </rPr>
      <t>)
•	IAM Roles Anywhere (</t>
    </r>
    <r>
      <rPr>
        <sz val="14"/>
        <color theme="4"/>
        <rFont val="Calibri"/>
        <family val="2"/>
      </rPr>
      <t>https://docs.aws.amazon.com/rolesanywhere/latest/userguide/introduction.html</t>
    </r>
    <r>
      <rPr>
        <sz val="14"/>
        <color rgb="FF000000"/>
        <rFont val="Calibri"/>
        <family val="2"/>
      </rPr>
      <t>)
•	Create an IAM user and assume a role with AWS STS using an AWS SDK (</t>
    </r>
    <r>
      <rPr>
        <sz val="14"/>
        <color theme="4"/>
        <rFont val="Calibri"/>
        <family val="2"/>
      </rPr>
      <t>https://docs.aws.amazon.com/IAM/latest/UserGuide/example_iam_Scenario_CreateUserAssumeRole_section.html</t>
    </r>
    <r>
      <rPr>
        <sz val="14"/>
        <color rgb="FF000000"/>
        <rFont val="Calibri"/>
        <family val="2"/>
      </rPr>
      <t>)</t>
    </r>
  </si>
  <si>
    <t xml:space="preserve">Partner has a process in place to scan and patch vulnerabilities in your dependencies, and in their operating systems. Partners should be leveraging services like AWS Inspector which alerts of the vulnerabilities in an EC2 instance. </t>
  </si>
  <si>
    <t xml:space="preserve">It is important to scan and patch vulnerabilities in dependencies and operating systems to make sure there are not security issues which can expose customer data to threat actors. </t>
  </si>
  <si>
    <t>Partner has automated the scan as part of their CI/CD and routinely prioritize patching them.</t>
  </si>
  <si>
    <t>Partner does not have a process to routinely scan and patch vulnerabilities in dependencies and operating systems.</t>
  </si>
  <si>
    <r>
      <t>•	Amazon Inspector (</t>
    </r>
    <r>
      <rPr>
        <sz val="14"/>
        <color theme="4"/>
        <rFont val="Calibri"/>
        <family val="2"/>
      </rPr>
      <t>https://aws.amazon.com/inspector/</t>
    </r>
    <r>
      <rPr>
        <sz val="14"/>
        <color rgb="FF000000"/>
        <rFont val="Calibri"/>
        <family val="2"/>
      </rPr>
      <t>)
•	OWASP Dependency-Check (</t>
    </r>
    <r>
      <rPr>
        <sz val="14"/>
        <color theme="4"/>
        <rFont val="Calibri"/>
        <family val="2"/>
      </rPr>
      <t>https://owasp.org/www-project-dependency-check/</t>
    </r>
    <r>
      <rPr>
        <sz val="14"/>
        <color rgb="FF000000"/>
        <rFont val="Calibri"/>
        <family val="2"/>
      </rPr>
      <t>)
•	Snyk (</t>
    </r>
    <r>
      <rPr>
        <sz val="14"/>
        <color theme="4"/>
        <rFont val="Calibri"/>
        <family val="2"/>
      </rPr>
      <t>https://snyk.io/product/open-source-security-management</t>
    </r>
    <r>
      <rPr>
        <sz val="14"/>
        <color rgb="FF000000"/>
        <rFont val="Calibri"/>
        <family val="2"/>
      </rPr>
      <t>)
•	OpenVAS (</t>
    </r>
    <r>
      <rPr>
        <sz val="14"/>
        <color theme="4"/>
        <rFont val="Calibri"/>
        <family val="2"/>
      </rPr>
      <t>https://www.openvas.org/</t>
    </r>
    <r>
      <rPr>
        <sz val="14"/>
        <color rgb="FF000000"/>
        <rFont val="Calibri"/>
        <family val="2"/>
      </rPr>
      <t>)</t>
    </r>
  </si>
  <si>
    <t>Security groups are critical in granting resource level access hence it is important to make them restricted in nature and ensuring that 0.0.0.0/0 is not open for port 22 or 3389 which allows the world to SSH/RDP into EC2 instances. Additionally, making sure that the default security group of every VPC restricts all traffic is important as it might get attached to new EC2 instances while creation. Since all traffic access would allow anyone in world to access the EC2, hence it is crucial to deploy procedures in place for reviewing all security groups before implementation.</t>
  </si>
  <si>
    <t>Partner has made sure that security groups attached with EC2 on port 22 or 3389 are not open to world and the access should be restricted. Partner has a process in place to review all security groups and be alerted if the permissions on a security group change.  Partner should have a process in place to ensure that the default security group of every VPC restricts all traffic since it gets attached to resources by default.</t>
  </si>
  <si>
    <r>
      <t>How to continuously audit and limit security groups with AWS Firewall Manager (</t>
    </r>
    <r>
      <rPr>
        <sz val="14"/>
        <color theme="4"/>
        <rFont val="Calibri"/>
        <family val="2"/>
      </rPr>
      <t>https://aws.amazon.com/blogs/security/how-to-continuously-audit-and-limit-security-groups-with-aws-firewall-manager/</t>
    </r>
    <r>
      <rPr>
        <sz val="14"/>
        <color rgb="FF000000"/>
        <rFont val="Calibri"/>
        <family val="2"/>
      </rPr>
      <t>)</t>
    </r>
  </si>
  <si>
    <t>We use Terraform to define the security group rules as code and version control them. This allows us to track changes to the security group over time and roll back to a previous version if needed. The EC2 instances are hosted in VPC private subnets, no public request can access them without private link or SSM section connection.</t>
  </si>
  <si>
    <t>We make sure that security group does not have public access enabled</t>
  </si>
  <si>
    <t xml:space="preserve">We make sure that security group does not have public access enabled
Edge Cases:
There can be scenarios where engineers need the ability to SSH/RDP into hosts inside VPC for various admin tasks. We recommend that you minimize such access as much as possible and in certain cases where that cannot be avoided, we recommend using AWS SSM Session Manager which allows you can maintain the security blanket of a bastion host without opening any ports. </t>
  </si>
  <si>
    <t>Resources which are not being accessed by public should be in private subnets to prevent from any kind of security attacks. Only resources which are being accessed by traffic from public sources are meant to be public subnets for example EC2 instances on which public websites are hosted.</t>
  </si>
  <si>
    <t>Partner has made sure resources which are not getting traffic from public sources are in private subnets. Datastores should be securely placed in an private subnet.</t>
  </si>
  <si>
    <t>We do not have anything in public subnets</t>
  </si>
  <si>
    <r>
      <t>VPC with private and public subnet (</t>
    </r>
    <r>
      <rPr>
        <sz val="14"/>
        <color theme="4"/>
        <rFont val="Calibri"/>
        <family val="2"/>
      </rPr>
      <t>https://docs.aws.amazon.com/vpc/latest/userguide/VPC_Scenario2.html</t>
    </r>
    <r>
      <rPr>
        <sz val="14"/>
        <color rgb="FF000000"/>
        <rFont val="Calibri"/>
        <family val="2"/>
      </rPr>
      <t>)</t>
    </r>
  </si>
  <si>
    <t>This is important to protect customer data and meet the RPO requirements.</t>
  </si>
  <si>
    <t>Partner must have automated backup process to backup all critical data. The automated backup frequency must satisfy the RPO requirements. If it is the responsibility of the customers to backup the data, it should be clearly documented and customers must be informed.</t>
  </si>
  <si>
    <t>•	All critical data are stored in RDS and automated backup turned on with maximum retention.
•	All data are stored on S3 and replicated to another region.
•	Data is stored in RDS and backed up every 12 hours and the RPO is 12 hours</t>
  </si>
  <si>
    <t>Data is stored in RDS and backed up every 24 hours and the RPO is 12 hours</t>
  </si>
  <si>
    <r>
      <t>•	AWS Backup (</t>
    </r>
    <r>
      <rPr>
        <sz val="14"/>
        <color theme="4"/>
        <rFont val="Calibri"/>
        <family val="2"/>
      </rPr>
      <t>https://docs.aws.amazon.com/aws-backup/latest/devguide/whatisbackup.html</t>
    </r>
    <r>
      <rPr>
        <sz val="14"/>
        <color rgb="FF000000"/>
        <rFont val="Calibri"/>
        <family val="2"/>
      </rPr>
      <t>)
•	AWS WAR (</t>
    </r>
    <r>
      <rPr>
        <sz val="14"/>
        <color theme="4"/>
        <rFont val="Calibri"/>
        <family val="2"/>
      </rPr>
      <t>https://docs.aws.amazon.com/wellarchitected/latest/reliability-pillar/back-up-data.html</t>
    </r>
    <r>
      <rPr>
        <sz val="14"/>
        <color rgb="FF000000"/>
        <rFont val="Calibri"/>
        <family val="2"/>
      </rPr>
      <t>)
•	AWS Resilience Hub (</t>
    </r>
    <r>
      <rPr>
        <sz val="14"/>
        <color theme="4"/>
        <rFont val="Calibri"/>
        <family val="2"/>
      </rPr>
      <t>https://docs.aws.amazon.com/resilience-hub/latest/userguide/what-is.html</t>
    </r>
    <r>
      <rPr>
        <sz val="14"/>
        <color rgb="FF000000"/>
        <rFont val="Calibri"/>
        <family val="2"/>
      </rPr>
      <t>)</t>
    </r>
  </si>
  <si>
    <t>Over time as the data size grows, the recovery time increases, so it is important to test recovery process periodically to make sure RPO and RTO can be met.  Also, major changes made to an application may require additional data sources to be backed up which may be missed in the backup and recovery process. A recovery test after major changes will identify and address these gaps.</t>
  </si>
  <si>
    <t>Partner tests data recovery process routinely and after major changes to confirm that their backup and recovery process meet the RPO and RTO requirements.</t>
  </si>
  <si>
    <t>Partner conducts recovery test after major releases in addition to periodic recovery test.</t>
  </si>
  <si>
    <t>Partner does not conduct recovery test routinely or after major releases.</t>
  </si>
  <si>
    <r>
      <t>•	WAR Reliability Pillar (</t>
    </r>
    <r>
      <rPr>
        <sz val="14"/>
        <color theme="4"/>
        <rFont val="Calibri"/>
        <family val="2"/>
      </rPr>
      <t>https://docs.aws.amazon.com/wellarchitected/latest/reliability-pillar/welcome.html</t>
    </r>
    <r>
      <rPr>
        <sz val="14"/>
        <color rgb="FF000000"/>
        <rFont val="Calibri"/>
        <family val="2"/>
      </rPr>
      <t>)
•	Perform periodic recovery of the data to verify backup integrity and processes (</t>
    </r>
    <r>
      <rPr>
        <sz val="14"/>
        <color theme="4"/>
        <rFont val="Calibri"/>
        <family val="2"/>
      </rPr>
      <t>https://docs.aws.amazon.com/wellarchitected/latest/reliability-pillar/rel_backing_up_data_periodic_recovery_testing_data.html</t>
    </r>
    <r>
      <rPr>
        <sz val="14"/>
        <color rgb="FF000000"/>
        <rFont val="Calibri"/>
        <family val="2"/>
      </rPr>
      <t>)</t>
    </r>
  </si>
  <si>
    <t>Recovery Point Objective (RPO) is the maximum acceptable amount of time since the last data recovery point. This determines what is considered an acceptable loss of data between the last recovery point and the interruption of service.</t>
  </si>
  <si>
    <t>Partner has an RPO defined based on their business requirements.</t>
  </si>
  <si>
    <t>We have 2 hours of RPO defined for our system.</t>
  </si>
  <si>
    <t>No RPO is defined</t>
  </si>
  <si>
    <r>
      <t>•	Define recovery objectives for downtime and data loss (</t>
    </r>
    <r>
      <rPr>
        <sz val="14"/>
        <color theme="4"/>
        <rFont val="Calibri"/>
        <family val="2"/>
      </rPr>
      <t>https://docs.aws.amazon.com/wellarchitected/latest/reliability-pillar/rel_planning_for_recovery_objective_defined_recovery.html</t>
    </r>
    <r>
      <rPr>
        <sz val="14"/>
        <color rgb="FF000000"/>
        <rFont val="Calibri"/>
        <family val="2"/>
      </rPr>
      <t>)</t>
    </r>
  </si>
  <si>
    <t>Partner has an RTO defined based on their business requirements.</t>
  </si>
  <si>
    <t>Partner conducts resiliency test on a regular basis and after major updates to confirm they can recover from accidental data loss, instance failures, and AZ failures within their RPO and RTO.</t>
  </si>
  <si>
    <t>Partner should have clearly defined customer responsibilities for resiliency.</t>
  </si>
  <si>
    <t>Partners who publish an SLA must ensure that they have architected the application and defined the operational process to meet that SLA.</t>
  </si>
  <si>
    <t>Partner has a clear communication plan to communicate to customers regarding incidents.</t>
  </si>
  <si>
    <t>When granting permissions, you decide who is getting what permissions to which Amazon S3 resources. You enable specific actions that you want to allow on those resources.</t>
  </si>
  <si>
    <t>Partner is accessing customers’ AWS accounts securely using cross-account roles.</t>
  </si>
  <si>
    <t>Partners must provide guidance or automated setup mechanisms for creating cross-account roles with minimum required privileges.</t>
  </si>
  <si>
    <t>Partner uses external ID with cross-account access roles to access customers’ AWS accounts.</t>
  </si>
  <si>
    <t>Partner generates external ID for each customer which is unique.</t>
  </si>
  <si>
    <t>Partner uses unique external ID for each customer.</t>
  </si>
  <si>
    <t>Customers should not have access to create or influence the external ID’s in any way.</t>
  </si>
  <si>
    <t>Recovery Time Objective (RTO) is the maximum acceptable delay between the interruption of service and restoration of service.</t>
  </si>
  <si>
    <t>Each solution should test their resiliency to make sure they can recovery from failures within the RPO and RTO agreed with the customer.</t>
  </si>
  <si>
    <t>Data must be backed up to avoid any unnecessary loss to business in case of any disaster or unforeseen event.</t>
  </si>
  <si>
    <t>It is important that Partners can meet their agreed upon SLAs to avoid any customer dissatisfaction.</t>
  </si>
  <si>
    <t>It is important to keep customers informed of the situation including ETA, so the customers can plan their activities accordingly including invoking their alternate plans</t>
  </si>
  <si>
    <t>Implement least privilege is fundamental in reducing security risk and the impact that could result from errors or malicious intent.</t>
  </si>
  <si>
    <t>Using static credentials to access customers’ AWS accounts is risky because if the Partners solution is compromised, these access keys can be stolen.</t>
  </si>
  <si>
    <t>Partners must provide clear instruction on how to create the IAM role to access customers’ AWS account including the required permissions and external ID.</t>
  </si>
  <si>
    <t>External ID prevents confused deputy problem.</t>
  </si>
  <si>
    <t>Partner-generated external ID ensures that malicious parties cannot impersonate a customer's configuration and enforces uniqueness and format consistency.</t>
  </si>
  <si>
    <t>Re-using external IDs for different customers does not solve the confused deputy problem and runs the risk of customer A being able to view data of customer B by using the role ARN and the external ID of customer B.</t>
  </si>
  <si>
    <t>If the external ID is editable, customer A can create a cross-account role setup using customer B’s role ARN and external ID, granting customer A access to customer B’s data.</t>
  </si>
  <si>
    <t>We have a 12 hours of RTO defined for our system.</t>
  </si>
  <si>
    <t>No RTO defined</t>
  </si>
  <si>
    <t>Resiliency testing is done every 6 months and after the release. RTO and RPO were met in the last resilience test.</t>
  </si>
  <si>
    <t>No resiliency test is done.</t>
  </si>
  <si>
    <t>We have discussed with our customer that they would be responsible to deploy mechanism to backup the data. Further we have provided them training, runbooks and guidelines on how to recover in case of disaster and discussed the availability responsibilities with them.</t>
  </si>
  <si>
    <t>Backup is customer’s responsibility not ours.</t>
  </si>
  <si>
    <t>No SLA is published. Partner has architected the solution and defined operational process to meet the SLA.</t>
  </si>
  <si>
    <t>Partner has published an SLA but solution and/or the operational process does not meet that SLA.</t>
  </si>
  <si>
    <t>Partner has a communication plan</t>
  </si>
  <si>
    <t>Partner does not have a communication plan</t>
  </si>
  <si>
    <t>Partner is able to explain which mechanisms and logic are they using to restrict access to their S3 buckets and prevent security incidents.</t>
  </si>
  <si>
    <t>Partner does not have mechanisms in place to restrict access to S3 buckets to the people that absolutely needed, or Partner is unaware if they have S3 buckets with unjustified public access.</t>
  </si>
  <si>
    <t>Partner uses IAM role to access customers’ AWS accounts.</t>
  </si>
  <si>
    <t>Partner users static credentials to access customers’ AWS accounts.</t>
  </si>
  <si>
    <t>Partner provides clear instructions.</t>
  </si>
  <si>
    <t>Partner relies on the customers to create IAM roles with appropriate configuration.</t>
  </si>
  <si>
    <t>Partner uses external ID along with cross-account access IAM role.</t>
  </si>
  <si>
    <t>Partner does not user external ID with cross-account access IAM role.</t>
  </si>
  <si>
    <t>Partner solution generates the external ID for customers.</t>
  </si>
  <si>
    <t>Partner relies on the customers for external ID.</t>
  </si>
  <si>
    <t>We do not use external ID.</t>
  </si>
  <si>
    <r>
      <t>Define recovery objectives for downtime and data loss (</t>
    </r>
    <r>
      <rPr>
        <sz val="14"/>
        <color theme="4"/>
        <rFont val="Calibri"/>
        <family val="2"/>
      </rPr>
      <t>https://docs.aws.amazon.com/wellarchitected/latest/reliability-pillar/rel_planning_for_recovery_objective_defined_recovery.html</t>
    </r>
    <r>
      <rPr>
        <sz val="14"/>
        <color rgb="FF000000"/>
        <rFont val="Calibri"/>
        <family val="2"/>
      </rPr>
      <t>)</t>
    </r>
  </si>
  <si>
    <r>
      <t>Test resiliency using chaos engineering (</t>
    </r>
    <r>
      <rPr>
        <sz val="14"/>
        <color theme="4"/>
        <rFont val="Calibri"/>
        <family val="2"/>
      </rPr>
      <t>https://docs.aws.amazon.com/wellarchitected/latest/reliability-pillar/rel_testing_resiliency_failure_injection_resiliency.html</t>
    </r>
    <r>
      <rPr>
        <sz val="14"/>
        <color rgb="FF000000"/>
        <rFont val="Calibri"/>
        <family val="2"/>
      </rPr>
      <t>)</t>
    </r>
  </si>
  <si>
    <r>
      <t>Shared Responsibility Model for Resiliency (</t>
    </r>
    <r>
      <rPr>
        <sz val="14"/>
        <color theme="4"/>
        <rFont val="Calibri"/>
        <family val="2"/>
      </rPr>
      <t>https://docs.aws.amazon.com/whitepapers/latest/disaster-recovery-workloads-on-aws/shared-responsibility-model-for-resiliency.html</t>
    </r>
    <r>
      <rPr>
        <sz val="14"/>
        <color rgb="FF000000"/>
        <rFont val="Calibri"/>
        <family val="2"/>
      </rPr>
      <t>)</t>
    </r>
  </si>
  <si>
    <r>
      <t>•	Reviewing bucket access using Access Analyzer for S3 (</t>
    </r>
    <r>
      <rPr>
        <sz val="14"/>
        <color theme="4"/>
        <rFont val="Calibri"/>
        <family val="2"/>
      </rPr>
      <t>https://docs.aws.amazon.com/AmazonS3/latest/userguide/access-analyzer.html</t>
    </r>
    <r>
      <rPr>
        <sz val="14"/>
        <color rgb="FF000000"/>
        <rFont val="Calibri"/>
        <family val="2"/>
      </rPr>
      <t>)
•	Overview of managing access (</t>
    </r>
    <r>
      <rPr>
        <sz val="14"/>
        <color theme="4"/>
        <rFont val="Calibri"/>
        <family val="2"/>
      </rPr>
      <t>https://docs.aws.amazon.com/AmazonS3/latest/userguide/access-control-overview.html</t>
    </r>
    <r>
      <rPr>
        <sz val="14"/>
        <color rgb="FF000000"/>
        <rFont val="Calibri"/>
        <family val="2"/>
      </rPr>
      <t>)
•	Security Best Practices for Amazon S3 (</t>
    </r>
    <r>
      <rPr>
        <sz val="14"/>
        <color theme="4"/>
        <rFont val="Calibri"/>
        <family val="2"/>
      </rPr>
      <t>https://docs.aws.amazon.com/AmazonS3/latest/userguide/security-best-practices.html</t>
    </r>
    <r>
      <rPr>
        <sz val="14"/>
        <color rgb="FF000000"/>
        <rFont val="Calibri"/>
        <family val="2"/>
      </rPr>
      <t>)</t>
    </r>
  </si>
  <si>
    <r>
      <t>•	Delegate access across AWS accounts using IAM roles (</t>
    </r>
    <r>
      <rPr>
        <sz val="14"/>
        <color theme="4"/>
        <rFont val="Calibri"/>
        <family val="2"/>
      </rPr>
      <t>https://docs.aws.amazon.com/IAM/latest/UserGuide/tutorial_cross-account-with-roles.html</t>
    </r>
    <r>
      <rPr>
        <sz val="14"/>
        <color rgb="FF000000"/>
        <rFont val="Calibri"/>
        <family val="2"/>
      </rPr>
      <t>)
•	Securely Accessing Customer AWS Accounts with Cross-Account IAM Roles (</t>
    </r>
    <r>
      <rPr>
        <sz val="14"/>
        <color theme="4"/>
        <rFont val="Calibri"/>
        <family val="2"/>
      </rPr>
      <t>https://aws.amazon.com/blogs/apn/securely-accessing-customer-aws-accounts-with-cross-account-iam-roles/</t>
    </r>
    <r>
      <rPr>
        <sz val="14"/>
        <color rgb="FF000000"/>
        <rFont val="Calibri"/>
        <family val="2"/>
      </rPr>
      <t>)</t>
    </r>
  </si>
  <si>
    <r>
      <t>AWS Partner Network (APN) blog posts (</t>
    </r>
    <r>
      <rPr>
        <sz val="14"/>
        <color theme="4"/>
        <rFont val="Calibri"/>
        <family val="2"/>
      </rPr>
      <t>https://aws.amazon.com/blogs/apn/tag/cross-account-roles/</t>
    </r>
    <r>
      <rPr>
        <sz val="14"/>
        <color rgb="FF000000"/>
        <rFont val="Calibri"/>
        <family val="2"/>
      </rPr>
      <t>)</t>
    </r>
  </si>
  <si>
    <r>
      <t>•	Confused deputy (</t>
    </r>
    <r>
      <rPr>
        <sz val="14"/>
        <color theme="4"/>
        <rFont val="Calibri"/>
        <family val="2"/>
      </rPr>
      <t>https://aws.amazon.com/blogs/security/how-to-use-external-id-when-granting-access-to-your-aws-resources</t>
    </r>
    <r>
      <rPr>
        <sz val="14"/>
        <color rgb="FF000000"/>
        <rFont val="Calibri"/>
        <family val="2"/>
      </rPr>
      <t>)
•	Securely Using External ID for Accessing AWS Accounts Owned by Others (</t>
    </r>
    <r>
      <rPr>
        <sz val="14"/>
        <color theme="4"/>
        <rFont val="Calibri"/>
        <family val="2"/>
      </rPr>
      <t>https://aws.amazon.com/blogs/apn/securely-using-external-id-for-accessing-aws-accounts-owned-by-others/</t>
    </r>
    <r>
      <rPr>
        <sz val="14"/>
        <color rgb="FF000000"/>
        <rFont val="Calibri"/>
        <family val="2"/>
      </rPr>
      <t>)</t>
    </r>
  </si>
  <si>
    <t>We create the external ID which are unique in nature and customer only has read-only access to the same.</t>
  </si>
  <si>
    <t>We do not use external ID’s while creating cross account roles to view customer information.</t>
  </si>
  <si>
    <t>Partner should not allow new customers to use static credential-based access.</t>
  </si>
  <si>
    <t>Partner is able to clearly distinguish and handle sensitive data and has mechanisms in place to protect it.</t>
  </si>
  <si>
    <t>Partner is encrypting sensitive data at rest while using AWS managed/non-managed data stores.</t>
  </si>
  <si>
    <t>Partner uses encryption of data at transit with necessary guidelines while transmitting sensitive data outside the VPC.</t>
  </si>
  <si>
    <t>Partner has a formal process in place to keep themselves updated regarding any compliance standards.</t>
  </si>
  <si>
    <t>Using static credentials (access keys) to access customers’ AWS accounts is risky due to potential compromises.</t>
  </si>
  <si>
    <t>Sensitive data needs to be classified and protected to avoid security breaches.</t>
  </si>
  <si>
    <t>Encryption at rest ensures confidentiality and prevents unauthorized access to sensitive data.</t>
  </si>
  <si>
    <t>Encryption of data in transit ensures data confidentiality during transmission.</t>
  </si>
  <si>
    <t>Ensuring compliance helps in meeting legal requirements, maintaining reputation, and managing risks effectively.</t>
  </si>
  <si>
    <t>Partner deprecated any legacy static credential-based access</t>
  </si>
  <si>
    <t>We have enabled SSE-S3 as default encryption for all new objects in S3. For aurora we are using AWS managed KMS by default and for redshift customer managed KMS.</t>
  </si>
  <si>
    <t>We are using SSL/TLS when working with 3rd party vendors and REST endpoints with HTTPS for our CloudFront distribution.</t>
  </si>
  <si>
    <t>Partner is able to explain which internal processes they have in place to ensure advertised and required compliance standards that apply to their solution are met. &lt;br&gt;... (Details of the processes)</t>
  </si>
  <si>
    <t>Partner still allows static credential-based access</t>
  </si>
  <si>
    <t>We are cautious in processing PII data.</t>
  </si>
  <si>
    <t>We have secured the PII data.</t>
  </si>
  <si>
    <t>We make sure that our data is secure while it is in transit outside VPC</t>
  </si>
  <si>
    <t>Partner does not have processes to meet the compliance regulations they advertise.</t>
  </si>
  <si>
    <r>
      <t>•	Cloud Compliance – AWS (</t>
    </r>
    <r>
      <rPr>
        <sz val="14"/>
        <color theme="4"/>
        <rFont val="Calibri"/>
        <family val="2"/>
      </rPr>
      <t>https://aws.amazon.com/compliance/</t>
    </r>
    <r>
      <rPr>
        <sz val="14"/>
        <color rgb="FF000000"/>
        <rFont val="Calibri"/>
        <family val="2"/>
      </rPr>
      <t>)
•	Compliance FAQs (</t>
    </r>
    <r>
      <rPr>
        <sz val="14"/>
        <color theme="4"/>
        <rFont val="Calibri"/>
        <family val="2"/>
      </rPr>
      <t>https://aws.amazon.com/compliance/faq/</t>
    </r>
    <r>
      <rPr>
        <sz val="14"/>
        <color rgb="FF000000"/>
        <rFont val="Calibri"/>
        <family val="2"/>
      </rPr>
      <t>)
•	AWS Cloud Security (</t>
    </r>
    <r>
      <rPr>
        <sz val="14"/>
        <color theme="4"/>
        <rFont val="Calibri"/>
        <family val="2"/>
      </rPr>
      <t>https://aws.amazon.com/security/</t>
    </r>
    <r>
      <rPr>
        <sz val="14"/>
        <color rgb="FF000000"/>
        <rFont val="Calibri"/>
        <family val="2"/>
      </rPr>
      <t>)</t>
    </r>
  </si>
  <si>
    <r>
      <t>Enforcing Encryption at transit (</t>
    </r>
    <r>
      <rPr>
        <sz val="14"/>
        <color theme="4"/>
        <rFont val="Calibri"/>
        <family val="2"/>
      </rPr>
      <t>https://wa.aws.amazon.com/wat.question.SEC_9.en.html</t>
    </r>
    <r>
      <rPr>
        <sz val="14"/>
        <color rgb="FF000000"/>
        <rFont val="Calibri"/>
        <family val="2"/>
      </rPr>
      <t>)</t>
    </r>
  </si>
  <si>
    <r>
      <t>Classify sensitive data in your environment using Amazon Macie (</t>
    </r>
    <r>
      <rPr>
        <sz val="14"/>
        <color theme="4"/>
        <rFont val="Calibri"/>
        <family val="2"/>
      </rPr>
      <t>https://aws.amazon.com/blogs/security/classify-sensitive-data-in-your-environment-using-amazon-macie/</t>
    </r>
    <r>
      <rPr>
        <sz val="14"/>
        <color rgb="FF000000"/>
        <rFont val="Calibri"/>
        <family val="2"/>
      </rPr>
      <t>)</t>
    </r>
  </si>
  <si>
    <t>There are 3 steps in the review process of handling PII data. We review it every 6 months. The last time of review was happening during Jan 9th to Jan 13th 2023.  (Details of the steps taken)</t>
  </si>
  <si>
    <t>Monitor and secure static AWS Identity and Access Management (IAM) credentials (CIS 1.14/Security Control IAM.3).</t>
  </si>
  <si>
    <r>
      <rPr>
        <b/>
        <sz val="11"/>
        <color indexed="8"/>
        <rFont val="Calibri"/>
        <family val="2"/>
      </rPr>
      <t xml:space="preserve">Resiliency Testing
</t>
    </r>
    <r>
      <rPr>
        <sz val="11"/>
        <color indexed="8"/>
        <rFont val="Calibri"/>
        <family val="2"/>
      </rPr>
      <t xml:space="preserve"> 
Test resiliency to ensure that RTO and RPO are met, both periodically (minimum every 12 months) and after major updates. The resiliency test must include accidental data loss, instance failures, and Availability Zone (AZ) failures. At least one resilience test that meets RTO and RPO requirements must be completed prior to FTR approval. You can use AWS Resilience Hub (</t>
    </r>
    <r>
      <rPr>
        <sz val="11"/>
        <color rgb="FF333399"/>
        <rFont val="Calibri"/>
        <family val="2"/>
      </rPr>
      <t>https://aws.amazon.com/resilience-hub/</t>
    </r>
    <r>
      <rPr>
        <sz val="11"/>
        <color indexed="8"/>
        <rFont val="Calibri"/>
        <family val="2"/>
      </rPr>
      <t>) to test and verify your workloads to see if it meets its resilience target. AWS Resilience Hub works with AWS Fault Injection Service (AWS FIS) (</t>
    </r>
    <r>
      <rPr>
        <sz val="11"/>
        <color rgb="FF333399"/>
        <rFont val="Calibri"/>
        <family val="2"/>
      </rPr>
      <t>https://aws.amazon.com/fis/</t>
    </r>
    <r>
      <rPr>
        <sz val="11"/>
        <color indexed="8"/>
        <rFont val="Calibri"/>
        <family val="2"/>
      </rPr>
      <t>), a chaos engineering service, to provide fault-injection simulations of real-world failures to validate the application recovers within the resilience targets you defined. AWS Resilience Hub also provides API operations for you to integrate its resilience assessment and testing into your CI/CD pipelines for ongoing resilience validation. Including resilience validation in CI/CD pipelines helps make sure that changes to the workload’s underlying infrastructure don't compromise resilience.
**Enter the date of the last resiliencey test in the Partner Response column of the self-assessment worksheet.**</t>
    </r>
  </si>
  <si>
    <t xml:space="preserve">Select N/A only if you do not have any machine identities that access IAM Accounts. </t>
  </si>
  <si>
    <t>IAM-012.2</t>
  </si>
  <si>
    <t xml:space="preserve">For Machine Identities always use IAM roles to acquire temporary security credentials. Please IAM Roles anywhere or securely store static AWS access keys that are only used to assume an IAM role. </t>
  </si>
  <si>
    <t>Please implement the usage of centralized Identity/temporary credentials for human identities. If you must use static AWS access keys for human users, require MFA for all accounts and verify through CIS before submitting the FTR (CIS 1.5/Security Control IAM.9)</t>
  </si>
  <si>
    <t xml:space="preserve">Select N/A only if you do not have any Human Identities that access IAM Accounts. </t>
  </si>
  <si>
    <t>Examples of acceptable Criteria</t>
  </si>
  <si>
    <t>Do you use IAM roles for all AWS API access from AWS compute services (e.g. Amazon EC2 instances, AWS Lambda functions, etc.)?</t>
  </si>
  <si>
    <t>For any cases where you must use static IAM credentials, are you storing them securely?</t>
  </si>
  <si>
    <t xml:space="preserve">Please ensure that any static credentials to AWS account are not easily accessible in config files or code repositories. </t>
  </si>
  <si>
    <t>IAM-012.3</t>
  </si>
  <si>
    <t>HOST-001.2</t>
  </si>
  <si>
    <t>HOST-001.3</t>
  </si>
  <si>
    <t>Okay. Please list any 3rd party services used by the product to transmit, store, or process customer data</t>
  </si>
  <si>
    <t xml:space="preserve">
Is your entire application infrastructure hosted on AWS? </t>
  </si>
  <si>
    <t>Okay. This response confirms that our SaaS product is completely hosted on AWS infrastructure, with both application and control plane components running all within AWS. Using CDN, DNS, and Corporate Identity services from other providers is acceptable.</t>
  </si>
  <si>
    <t>Okay. This response indicates that your SaaS product operates exclusively on AWS infrastructure without relying on external third-party services or LLMs. Using CDN, DNS, and Corporate Identity services from other providers is acceptable.</t>
  </si>
  <si>
    <t>• We use AWS Organzations to centrally manage root user credentials for member accounts. By centrally managing we delete the root user crdentials from member accounts in our organization</t>
  </si>
  <si>
    <r>
      <t>Partner uses the root users for tasks that require root user. The CIS 1.1 in AWS Security Hub require Partners to monitor root usage as well. However, monitoring is not required for FTR. Partners can add a note to the self-assessment sheet if they failed this control in Security Hub because they don’t have monitoring. Monitoring root user activity is not required to pass this control.
If you are using AWS Organizations you can follow this link to centralize the root access for your member accounts.(</t>
    </r>
    <r>
      <rPr>
        <sz val="14"/>
        <color theme="4" tint="-0.249977111117893"/>
        <rFont val="Calibri"/>
        <family val="2"/>
      </rPr>
      <t>https://docs.aws.amazon.com/IAM/latest/UserGuide/id_root-enable-root-access.html)</t>
    </r>
  </si>
  <si>
    <t xml:space="preserve">The root user has unlimited access to your account and its resources. Since the root user is a single user, it is not possible to audit usage if the same is shared to multiple people.  Also, since root user has access to billing information as well hence it is critical to limit its usage to minimum. 
We recommend you centrally secure the root user credentials of AWS accounts managed using AWS Organizations to prevent root user credential recovery and access at scale.
</t>
  </si>
  <si>
    <t>Subscribe to the AWS Business Support tier (or higher including AWS Partner-led Support) for all production AWS accounts or have an action plan to handle issues which require help from AWS Support</t>
  </si>
  <si>
    <r>
      <t xml:space="preserve">•	SaaS product guidelines for AWS Marketplace </t>
    </r>
    <r>
      <rPr>
        <sz val="14"/>
        <color theme="4" tint="-0.249977111117893"/>
        <rFont val="Calibri"/>
        <family val="2"/>
      </rPr>
      <t>https://docs.aws.amazon.com/marketplace/latest/userguide/saas-guidelines.html#saas-architecture</t>
    </r>
    <r>
      <rPr>
        <sz val="14"/>
        <color rgb="FF000000"/>
        <rFont val="Calibri"/>
        <family val="2"/>
      </rPr>
      <t>)</t>
    </r>
  </si>
  <si>
    <t>•	Control plane and application plane are running on AWS
•	All critical components are running on AWS other than CDN, DNS, IdP</t>
  </si>
  <si>
    <r>
      <t>AWS Marketplace requires Software-as-a-Service (SaaS) infrastructure partners to host their critical infrastructure components on AWS. The only permitted exceptions are Content Delivery Networks (CDN), Domain Name Systems (DNS), and Identity Providers (IdP). Hosting critical components on another public cloud or accessing third party services and using LLM's outside AWS will disqualify the solution for FTR. Partner must provide an architecture diagram which clearly details the components of the solution. You can refer to the architecture guidelines on the architecture diagram section of the AWS Marketplace seller guide(</t>
    </r>
    <r>
      <rPr>
        <sz val="14"/>
        <color theme="4" tint="-0.249977111117893"/>
        <rFont val="Calibri"/>
        <family val="2"/>
      </rPr>
      <t>https://docs.aws.amazon.com/marketplace/latest/userguide/saas-guidelines.html#saas-architecture</t>
    </r>
    <r>
      <rPr>
        <sz val="14"/>
        <color rgb="FF000000"/>
        <rFont val="Calibri"/>
        <family val="2"/>
      </rPr>
      <t>).
When a partner's solution migrates workloads to AWS, the partner must attest in the FTR checklist that AWS is the sole migration target. For solutions that support replication to other environments, partners must remove AWS-specific replication features and publish them as a separate product to qualify for FTR.</t>
    </r>
  </si>
  <si>
    <t>Please note that an architecture diagram is a mandatory component of your FTR submission - without it, your submission will be considered incomplete and cannot be approved.</t>
  </si>
  <si>
    <t>This requirement is essential for the FTR validation process, which evaluates how effectively the SaaS solution implements AWS best practices for security, reliability, and operational excellence within the AWS environment. To qualify for AWS Partner Network (APN) programs, your application must be hosted on AWS infrastructure.</t>
  </si>
  <si>
    <t xml:space="preserve">Okay. Please ensure you include your architecture diagram when submitting your FTR self-assessment. Both components are required for a complete FTR submission. </t>
  </si>
  <si>
    <t>Dear AWS Partners,
We've streamlined the Foundational Technical Review (FTR) process to make it even more partner-friendly. If you conducted the FTR or Technical Baseline Review (TBR) process two years ago, we kindly request that you revisit this review to ensure alignment with the latest requirements. The new FTR self-assessment checklist has been simplified, featuring straightforward yes/no questions that allow you to easily grasp AWS expectations.
We encourage you to complete this self-assessment checklist with the available information about your AWS architecture and submit it through AWS Partner Central. Our dedicated PSA (Partner Solutions Architect) team is ready to review your response and offer guidance where needed to help you secure FTR approval.
Thank you for your ongoing partnership, and we look forward to continuing our journey together.</t>
  </si>
  <si>
    <t xml:space="preserve">Which version of the CIS Benchmark report did you submit?  </t>
  </si>
  <si>
    <r>
      <rPr>
        <b/>
        <sz val="11"/>
        <color indexed="8"/>
        <rFont val="Calibri"/>
        <family val="2"/>
      </rPr>
      <t>Grant least privilege access.</t>
    </r>
    <r>
      <rPr>
        <sz val="11"/>
        <color indexed="8"/>
        <rFont val="Calibri"/>
        <family val="2"/>
      </rPr>
      <t xml:space="preserve"> 
You must follow the standard security advice of granting least privilege (</t>
    </r>
    <r>
      <rPr>
        <sz val="11"/>
        <color indexed="62"/>
        <rFont val="Calibri"/>
        <family val="2"/>
      </rPr>
      <t>https://docs.aws.amazon.com/IAM/latest/UserGuide/best-practices.html#grant-least-privilege</t>
    </r>
    <r>
      <rPr>
        <sz val="11"/>
        <color indexed="8"/>
        <rFont val="Calibri"/>
        <family val="2"/>
      </rPr>
      <t xml:space="preserve">). Grant only the access that identities require by allowing access to specific actions on specific AWS resources under specific conditions. Rely on groups and identity attributes to dynamically set permissions at scale, rather than defining permissions for individual users. For example, you can allow a group of developers access to manage  only resources for their project. This way, when a developer is removed from the group, access for the developer is revoked everywhere that group was used for access control, without requiring any changes to the access policies.  
</t>
    </r>
  </si>
  <si>
    <t xml:space="preserve">Configure AWS account contacts (CIS 1.2/Security Control Account.1).
</t>
  </si>
  <si>
    <t>Implement the least permissive rules for all Amazon EC2 security groups (CIS 5.2/Security Control EC2.53), (CIS 5.3/Security Control EC2.54), (CIS 5.4/Security Control EC2.2).</t>
  </si>
  <si>
    <r>
      <t>As part of your FTR submission, please confirm you will include an architecture diagram that meets all the specified criteria here (</t>
    </r>
    <r>
      <rPr>
        <sz val="14"/>
        <color theme="4"/>
        <rFont val="Calibri"/>
        <family val="2"/>
      </rPr>
      <t>https://docs.aws.amazon.com/marketplace/latest/userguide/saas-guidelines.html#arch-diagram</t>
    </r>
    <r>
      <rPr>
        <sz val="14"/>
        <color rgb="FF000000"/>
        <rFont val="Calibri"/>
        <family val="2"/>
      </rPr>
      <t xml:space="preserve">). </t>
    </r>
  </si>
  <si>
    <t xml:space="preserve">Are all of the third-party services used by your application also hosted on AWS? If you are unsure, please verify with your third-party service provider where they are hosted. </t>
  </si>
  <si>
    <t>All solutions submitted for FTR must be either: 
•	Generally Available (GA), or
•	Available for customers to purchase
Does your solution meet this criteria?</t>
  </si>
  <si>
    <t>General Availability</t>
  </si>
  <si>
    <t>ARC-002</t>
  </si>
  <si>
    <t>ARC-002.1</t>
  </si>
  <si>
    <t>RES-003</t>
  </si>
  <si>
    <t>RES-003.1</t>
  </si>
  <si>
    <t>RES-005.2</t>
  </si>
  <si>
    <t xml:space="preserve">General Availability </t>
  </si>
  <si>
    <t>You may proceed with completing this FTR checklist if the solution is General Available (GA) to customers.</t>
  </si>
  <si>
    <t>Please hold off on submitting the FTR until the solution reaches General Available (GA) status for customers.</t>
  </si>
  <si>
    <t>ARC-004</t>
  </si>
  <si>
    <t>ARC-004.1</t>
  </si>
  <si>
    <t>ARC-005.1</t>
  </si>
  <si>
    <t>RES-006.2</t>
  </si>
  <si>
    <t>RES-007.1</t>
  </si>
  <si>
    <r>
      <rPr>
        <b/>
        <sz val="11"/>
        <color indexed="8"/>
        <rFont val="Calibri"/>
        <family val="2"/>
      </rPr>
      <t>Confirm your hosting model.</t>
    </r>
    <r>
      <rPr>
        <sz val="11"/>
        <color indexed="8"/>
        <rFont val="Calibri"/>
        <family val="2"/>
      </rPr>
      <t xml:space="preserve"> 
To qualify for FTR your product must run entirely on AWS. This includes the application and control planes. The application plane can run in the seller's AWS account, the buyer's AWS account, or both. For more information, refer to the Control plane vs. application plane (</t>
    </r>
    <r>
      <rPr>
        <sz val="11"/>
        <color theme="4"/>
        <rFont val="Calibri"/>
        <family val="2"/>
      </rPr>
      <t>https://docs.aws.amazon.com/whitepapers/latest/saas-architecture-fundamentals/control-plane-vs.-application-plane.html</t>
    </r>
    <r>
      <rPr>
        <sz val="11"/>
        <color indexed="8"/>
        <rFont val="Calibri"/>
        <family val="2"/>
      </rPr>
      <t>) whitepaper. Third-party services used by the product to transmit, store, or process application data must also run entirely on AWS —except for content delivery networks (CDNs), domain name systems (DNSs), and corporate identity providers (IdPs). 
Agents or gateways used by the product for security, monitoring, data replication, or migration can run on buyer-owned environments outside AWS, including on premises, but must send data only to AWS for storage and analysis.
You must include an architecture diagram for review. For more information, refer to Architecture diagram (</t>
    </r>
    <r>
      <rPr>
        <sz val="11"/>
        <color theme="4"/>
        <rFont val="Calibri"/>
        <family val="2"/>
      </rPr>
      <t>https://docs.aws.amazon.com/marketplace/latest/userguide/saas-guidelines.html#saas-architecture</t>
    </r>
    <r>
      <rPr>
        <sz val="11"/>
        <color indexed="8"/>
        <rFont val="Calibri"/>
        <family val="2"/>
      </rPr>
      <t>).
Listing on Marketplace is not required to complete a FTR.</t>
    </r>
  </si>
  <si>
    <t>Version</t>
  </si>
  <si>
    <r>
      <rPr>
        <sz val="10"/>
        <color rgb="FF000000"/>
        <rFont val="Calibri"/>
        <family val="2"/>
      </rPr>
      <t>The following FTR Contols map to the CIS benmark report v5.0:</t>
    </r>
    <r>
      <rPr>
        <b/>
        <sz val="10"/>
        <color rgb="FF000000"/>
        <rFont val="Calibri"/>
        <family val="2"/>
      </rPr>
      <t xml:space="preserve">
VCL Control : CIS Benchmark Control
</t>
    </r>
    <r>
      <rPr>
        <sz val="10"/>
        <color rgb="FF000000"/>
        <rFont val="Calibri"/>
        <family val="2"/>
      </rPr>
      <t xml:space="preserve">1)  ARC-004 :  CIS 1.3/ IAM.4 
2)  ACOM-001: CIS 1.2 / Account.1
3)  IAM-001 :  CIS 1.9 / IAM.5 
4)  IAM-002 :  CIS 1.13 / IAM.3
5)  IAM-003 : CIS 1.7 / IAM.15 &amp; CIS 1.8 / IAM.16
6)  NETSEC-001: CIS 5.4 / EC2.54 ; CIS 5.3 / EC2.53 ; CIS 5.5 / EC2.2
</t>
    </r>
  </si>
  <si>
    <r>
      <t xml:space="preserve">The following FTR Contols map to the CIS benmark report v3.0:
</t>
    </r>
    <r>
      <rPr>
        <b/>
        <sz val="10"/>
        <color rgb="FF000000"/>
        <rFont val="Calibri"/>
        <family val="2"/>
      </rPr>
      <t>VCL Control : CIS Benchmark Control</t>
    </r>
    <r>
      <rPr>
        <sz val="10"/>
        <color rgb="FF000000"/>
        <rFont val="Calibri"/>
        <family val="2"/>
      </rPr>
      <t xml:space="preserve">
1)  ARC-004 :  CIS 1.4/ IAM.4 
2)  ACOM-001: CIS 1.2 / Account.1
3)  IAM-001 :  CIS 1.10 / IAM.5 
4)  IAM-002 :  CIS 1.14 / IAM.3
5)  IAM-003 : CIS 1.8 / IAM.15 &amp; CIS 1.9 / IAM.16
6)  NETSEC-001: CIS 5.3 / EC2.54 ; CIS 5.2 / EC2.53 ; CIS 5.4 / EC2.2</t>
    </r>
  </si>
  <si>
    <t>AWS Solution Architect Comments ONLY</t>
  </si>
  <si>
    <r>
      <rPr>
        <b/>
        <sz val="24"/>
        <rFont val="Calibri"/>
        <family val="2"/>
      </rPr>
      <t xml:space="preserve">Partner Hosted Foundational Technical Review 
</t>
    </r>
    <r>
      <rPr>
        <sz val="18"/>
        <rFont val="Calibri"/>
        <family val="2"/>
      </rPr>
      <t xml:space="preserve">Partner Hosted Validation Checklist </t>
    </r>
    <r>
      <rPr>
        <b/>
        <sz val="24"/>
        <rFont val="Calibri"/>
        <family val="2"/>
      </rPr>
      <t xml:space="preserve">
</t>
    </r>
    <r>
      <rPr>
        <i/>
        <sz val="14"/>
        <rFont val="Calibri"/>
        <family val="2"/>
      </rPr>
      <t xml:space="preserve">Validity Period: February 2026-August 2026 </t>
    </r>
    <r>
      <rPr>
        <sz val="14"/>
        <rFont val="Calibri"/>
        <family val="2"/>
      </rPr>
      <t xml:space="preserve">
</t>
    </r>
    <r>
      <rPr>
        <sz val="10"/>
        <rFont val="Calibri"/>
        <family val="2"/>
      </rPr>
      <t>This version of the checklist was released on February 14th, 2025. The next version of this checklist is expected to be released in August 2025. AWS Partners may continue to use this version of the checklist until November 2025.</t>
    </r>
    <r>
      <rPr>
        <sz val="14"/>
        <rFont val="Calibri"/>
        <family val="2"/>
      </rPr>
      <t xml:space="preserve">
</t>
    </r>
    <r>
      <rPr>
        <sz val="11"/>
        <rFont val="Calibri"/>
        <family val="2"/>
      </rPr>
      <t xml:space="preserve">
This workbook is intended to be used by AWS Partners applying for Partner Hosted Foundational Technical Review in order to complete the required self-assessment.
Please create a copy of this spreadsheet for your application and complete the requested information on the second tab. For each technical requirement, please indicate if you meet the requirement and provide details in the "Partner Response" column where requested.
Once you have completed your self-assessment, attach a completed copy of this spreadsheet along with other required documents (i.e., CIS Benchmark Report, Architecture Diagram) when you request the FTR.</t>
    </r>
  </si>
  <si>
    <r>
      <rPr>
        <b/>
        <sz val="11"/>
        <color indexed="8"/>
        <rFont val="Calibri"/>
        <family val="2"/>
      </rPr>
      <t xml:space="preserve">Remove access keys for the root user (CIS Control, see mapping reference in Row 8 above).
</t>
    </r>
    <r>
      <rPr>
        <sz val="11"/>
        <color indexed="8"/>
        <rFont val="Calibri"/>
        <family val="2"/>
      </rPr>
      <t xml:space="preserve"> 
Programmatic access to AWS APIs should never use the root user. It is best not to generate static an access key for the root user. If one already exists, you should transition any processes using that key to use temporary access keys from an AWS Identity and Access Management (IAM) role, or, if necessary, static access keys from an IAM user.
</t>
    </r>
  </si>
  <si>
    <r>
      <rPr>
        <b/>
        <sz val="11"/>
        <color indexed="8"/>
        <rFont val="Calibri"/>
        <family val="2"/>
      </rPr>
      <t xml:space="preserve">Configure AWS account contacts (CIS Control, see mapping reference in Row 8 above).
</t>
    </r>
    <r>
      <rPr>
        <sz val="11"/>
        <color indexed="8"/>
        <rFont val="Calibri"/>
        <family val="2"/>
      </rPr>
      <t xml:space="preserve"> 
If an account is not managed by AWS Organizations  (</t>
    </r>
    <r>
      <rPr>
        <sz val="11"/>
        <color indexed="62"/>
        <rFont val="Calibri"/>
        <family val="2"/>
      </rPr>
      <t>https://d2jzdts88nec9c.cloudfront.net/ftr.concept.awsorganizations.en.html</t>
    </r>
    <r>
      <rPr>
        <sz val="11"/>
        <color indexed="8"/>
        <rFont val="Calibri"/>
        <family val="2"/>
      </rPr>
      <t>), alternate account contacts help AWS get in contact with the appropriate personnel if needed. Configure the account’s alternate contacts (</t>
    </r>
    <r>
      <rPr>
        <sz val="11"/>
        <color indexed="62"/>
        <rFont val="Calibri"/>
        <family val="2"/>
      </rPr>
      <t>http://docs.aws.amazon.com/awsaccountbilling/latest/aboutv2/manage-account-payment.html#account-contacts</t>
    </r>
    <r>
      <rPr>
        <sz val="11"/>
        <color indexed="8"/>
        <rFont val="Calibri"/>
        <family val="2"/>
      </rPr>
      <t xml:space="preserve">) to point to a group rather than an individual. For example, create separate email distribution lists for billing, operations, and security and configure these as Billing, Security, and Operations contacts in each active AWS account. This ensures that multiple people will receive AWS notifications and be able to respond, even if someone is on vacation, changes roles, or leaves the company.
</t>
    </r>
  </si>
  <si>
    <r>
      <rPr>
        <b/>
        <sz val="11"/>
        <color indexed="8"/>
        <rFont val="Calibri"/>
        <family val="2"/>
      </rPr>
      <t>Enable multi-factor authentication (MFA) for all Human Identities with AWS access (CIS Control, see mapping reference in Row 8 above).</t>
    </r>
    <r>
      <rPr>
        <sz val="11"/>
        <color indexed="8"/>
        <rFont val="Calibri"/>
        <family val="2"/>
      </rPr>
      <t xml:space="preserve"> 
You must require any human identities to authenticate using MFA before accessing your AWS accounts. Typically, this means enabling MFA within your corporate identity provider. If you have existing legacy IAM users you must enable MFA for console access for those principals as well. Enabling MFA for IAM users provides an additional layer of security. With MFA, users have a device that generates a unique authentication code (a one-time password, or OTP). Users must provide both their normal credentials (user name and password) and the OTP. The MFA device can either be a special piece of hardware, or it can be a virtual device (for example, it can run in an app on a smartphone). Please note that machine identities do not require MFA.
</t>
    </r>
  </si>
  <si>
    <r>
      <rPr>
        <b/>
        <sz val="11"/>
        <color rgb="FF000000"/>
        <rFont val="Calibri"/>
        <family val="2"/>
      </rPr>
      <t xml:space="preserve">Monitor and secure static AWS Identity and Access Management (IAM) credentials (CIS Control, see mapping reference in Row 8 above).
</t>
    </r>
    <r>
      <rPr>
        <sz val="11"/>
        <color rgb="FF000000"/>
        <rFont val="Calibri"/>
        <family val="2"/>
      </rPr>
      <t>In cases where it is infeasible to use IAM roles, implement the following controls to reduce the risk these credentials are misused. 
* Rotate IAM access keys regularly (recommended at least every 90 days).
* Maintain an inventory of all static keys and where they are used and remove unused access keys.
* Implement monitoring of AWS CloudTrail logs to detect anomalous activity or other potential misuse (e.g. using AWS GuardDuty.)
* Define a runbook or SOP for revoking credentials in the event you detect misuse.
See Managing access keys for IAM users (</t>
    </r>
    <r>
      <rPr>
        <sz val="11"/>
        <color rgb="FF333399"/>
        <rFont val="Calibri"/>
        <family val="2"/>
      </rPr>
      <t>https://docs.aws.amazon.com/IAM/latest/UserGuide/id_credentials_access-keys.html</t>
    </r>
    <r>
      <rPr>
        <sz val="11"/>
        <color rgb="FF000000"/>
        <rFont val="Calibri"/>
        <family val="2"/>
      </rPr>
      <t>) for more information.</t>
    </r>
  </si>
  <si>
    <r>
      <rPr>
        <b/>
        <sz val="11"/>
        <color indexed="8"/>
        <rFont val="Calibri"/>
        <family val="2"/>
      </rPr>
      <t>Use strong password policy (CIS Control, see mapping reference in Row 8 above).</t>
    </r>
    <r>
      <rPr>
        <sz val="11"/>
        <color indexed="8"/>
        <rFont val="Calibri"/>
        <family val="2"/>
      </rPr>
      <t xml:space="preserve"> 
Enforce a strong password policy, and educate users to avoid common or re-used passwords. For IAM users, you can create a password policy for your account on the Account Settings page of the IAM console. You can use the password policy to define password requirements, such as minimum length and whether it requires non-alphabetic characters, and so on. For more information, see Setting an Account Password Policy for IAM users (</t>
    </r>
    <r>
      <rPr>
        <sz val="11"/>
        <color indexed="62"/>
        <rFont val="Calibri"/>
        <family val="2"/>
      </rPr>
      <t>https://docs.aws.amazon.com/IAM/latest/UserGuide/id_credentials_passwords_account-policy.html</t>
    </r>
    <r>
      <rPr>
        <sz val="11"/>
        <color indexed="8"/>
        <rFont val="Calibri"/>
        <family val="2"/>
      </rPr>
      <t xml:space="preserve">). 
</t>
    </r>
  </si>
  <si>
    <r>
      <rPr>
        <b/>
        <sz val="11"/>
        <color rgb="FF000000"/>
        <rFont val="Calibri"/>
        <family val="2"/>
      </rPr>
      <t>Implement the least permissive rules for all Amazon EC2 security groups.</t>
    </r>
    <r>
      <rPr>
        <sz val="11"/>
        <color rgb="FF000000"/>
        <rFont val="Calibri"/>
        <family val="2"/>
      </rPr>
      <t xml:space="preserve"> 
All Amazon EC2 security groups should restrict access to the greatest degree possible. At a minimum, do the following:
* Ensure that no security groups allow ingress from IPV4 0.0.0.0/0 and IPV6 ::/0 to port 22 or 3389 (CIS Control, see mapping reference in Row 8 above).
* Ensure that the default security group of every VPC restricts all traffic (CIS Control, see mapping reference in Row 8 above)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</si>
</sst>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2"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b/>
      <sz val="24"/>
      <name val="Calibri"/>
      <family val="2"/>
    </font>
    <font>
      <sz val="14"/>
      <name val="Calibri"/>
      <family val="2"/>
    </font>
    <font>
      <b/>
      <sz val="11"/>
      <color indexed="8"/>
      <name val="Calibri"/>
      <family val="2"/>
    </font>
    <font>
      <sz val="12"/>
      <name val="Calibri"/>
      <family val="2"/>
    </font>
    <font>
      <sz val="14"/>
      <color indexed="8"/>
      <name val="Calibri"/>
      <family val="2"/>
    </font>
    <font>
      <sz val="18"/>
      <name val="Calibri"/>
      <family val="2"/>
    </font>
    <font>
      <sz val="11"/>
      <name val="Calibri"/>
      <family val="2"/>
    </font>
    <font>
      <b/>
      <sz val="16"/>
      <name val="Calibri"/>
      <family val="2"/>
    </font>
    <font>
      <b/>
      <sz val="14"/>
      <color indexed="8"/>
      <name val="Calibri"/>
      <family val="2"/>
    </font>
    <font>
      <b/>
      <sz val="12"/>
      <name val="Calibri"/>
      <family val="2"/>
    </font>
    <font>
      <sz val="11"/>
      <color indexed="62"/>
      <name val="Calibri"/>
      <family val="2"/>
    </font>
    <font>
      <sz val="14"/>
      <color indexed="62"/>
      <name val="Calibri"/>
      <family val="2"/>
    </font>
    <font>
      <sz val="8"/>
      <name val="Calibri"/>
      <family val="2"/>
    </font>
    <font>
      <b/>
      <sz val="14"/>
      <name val="Calibri"/>
      <family val="2"/>
    </font>
    <font>
      <sz val="11"/>
      <color theme="1"/>
      <name val="Calibri"/>
      <family val="2"/>
      <scheme val="minor"/>
    </font>
    <font>
      <sz val="11"/>
      <color rgb="FF9C0006"/>
      <name val="Calibri"/>
      <family val="2"/>
      <scheme val="minor"/>
    </font>
    <font>
      <sz val="11"/>
      <color rgb="FF006100"/>
      <name val="Calibri"/>
      <family val="2"/>
      <scheme val="minor"/>
    </font>
    <font>
      <u/>
      <sz val="12"/>
      <color theme="10"/>
      <name val="Calibri"/>
      <family val="2"/>
      <scheme val="minor"/>
    </font>
    <font>
      <b/>
      <sz val="12"/>
      <color theme="1"/>
      <name val="Calibri"/>
      <family val="2"/>
      <scheme val="minor"/>
    </font>
    <font>
      <b/>
      <sz val="18"/>
      <color rgb="FFFFFFFF"/>
      <name val="Calibri"/>
      <family val="2"/>
    </font>
    <font>
      <b/>
      <sz val="10"/>
      <color rgb="FFFFFFFF"/>
      <name val="Calibri"/>
      <family val="2"/>
    </font>
    <font>
      <b/>
      <sz val="10"/>
      <color rgb="FF000000"/>
      <name val="Calibri"/>
      <family val="2"/>
    </font>
    <font>
      <sz val="10"/>
      <color rgb="FF000000"/>
      <name val="Calibri"/>
      <family val="2"/>
    </font>
    <font>
      <sz val="10"/>
      <color theme="1"/>
      <name val="Calibri"/>
      <family val="2"/>
      <scheme val="minor"/>
    </font>
    <font>
      <sz val="10"/>
      <color rgb="FFD9D9D9"/>
      <name val="Calibri"/>
      <family val="2"/>
    </font>
    <font>
      <sz val="10"/>
      <color rgb="FF000000"/>
      <name val="Segoe UI"/>
      <family val="2"/>
    </font>
    <font>
      <sz val="14"/>
      <color rgb="FF000000"/>
      <name val="Calibri"/>
      <family val="2"/>
    </font>
    <font>
      <sz val="14"/>
      <color theme="1"/>
      <name val="Calibri"/>
      <family val="2"/>
      <scheme val="minor"/>
    </font>
    <font>
      <b/>
      <sz val="14"/>
      <color theme="1"/>
      <name val="Calibri"/>
      <family val="2"/>
      <scheme val="minor"/>
    </font>
    <font>
      <b/>
      <sz val="14"/>
      <color rgb="FF000000"/>
      <name val="Calibri"/>
      <family val="2"/>
    </font>
    <font>
      <b/>
      <sz val="14"/>
      <color rgb="FFFFFFFF"/>
      <name val="Calibri"/>
      <family val="2"/>
    </font>
    <font>
      <b/>
      <sz val="11"/>
      <color rgb="FF000000"/>
      <name val="Calibri"/>
      <family val="2"/>
    </font>
    <font>
      <sz val="11"/>
      <color rgb="FF000000"/>
      <name val="Calibri"/>
      <family val="2"/>
    </font>
    <font>
      <sz val="14"/>
      <color rgb="FFD9D9D9"/>
      <name val="Calibri"/>
      <family val="2"/>
    </font>
    <font>
      <sz val="14"/>
      <color rgb="FF1D1C1D"/>
      <name val="Calibri"/>
      <family val="2"/>
      <scheme val="minor"/>
    </font>
    <font>
      <b/>
      <sz val="14"/>
      <name val="Calibri"/>
      <family val="2"/>
      <scheme val="minor"/>
    </font>
    <font>
      <sz val="11"/>
      <color rgb="FF333399"/>
      <name val="Calibri"/>
      <family val="2"/>
    </font>
    <font>
      <sz val="11"/>
      <color theme="0"/>
      <name val="Calibri"/>
      <family val="2"/>
      <scheme val="minor"/>
    </font>
    <font>
      <b/>
      <sz val="12"/>
      <color rgb="FFFF0000"/>
      <name val="Calibri"/>
      <family val="2"/>
      <scheme val="minor"/>
    </font>
    <font>
      <strike/>
      <sz val="12"/>
      <color theme="1"/>
      <name val="Calibri"/>
      <family val="2"/>
      <scheme val="minor"/>
    </font>
    <font>
      <sz val="14"/>
      <color theme="4"/>
      <name val="Calibri"/>
      <family val="2"/>
    </font>
    <font>
      <sz val="10"/>
      <color rgb="FFFF0000"/>
      <name val="Calibri"/>
      <family val="2"/>
    </font>
    <font>
      <sz val="14"/>
      <color theme="4" tint="-0.249977111117893"/>
      <name val="Calibri"/>
      <family val="2"/>
    </font>
    <font>
      <sz val="10"/>
      <name val="Calibri"/>
      <family val="2"/>
    </font>
    <font>
      <i/>
      <sz val="14"/>
      <name val="Calibri"/>
      <family val="2"/>
    </font>
    <font>
      <sz val="11"/>
      <color theme="4"/>
      <name val="Calibri"/>
      <family val="2"/>
    </font>
  </fonts>
  <fills count="20">
    <fill>
      <patternFill patternType="none"/>
    </fill>
    <fill>
      <patternFill patternType="gray125"/>
    </fill>
    <fill>
      <patternFill patternType="solid">
        <fgColor rgb="FFFFC7CE"/>
      </patternFill>
    </fill>
    <fill>
      <patternFill patternType="solid">
        <fgColor rgb="FFC6EFCE"/>
      </patternFill>
    </fill>
    <fill>
      <patternFill patternType="solid">
        <fgColor rgb="FF1F497D"/>
        <bgColor rgb="FF1F497D"/>
      </patternFill>
    </fill>
    <fill>
      <patternFill patternType="solid">
        <fgColor rgb="FFDCE6F1"/>
        <bgColor rgb="FFDCE6F1"/>
      </patternFill>
    </fill>
    <fill>
      <patternFill patternType="solid">
        <fgColor theme="4" tint="0.79998168889431442"/>
        <bgColor indexed="64"/>
      </patternFill>
    </fill>
    <fill>
      <patternFill patternType="solid">
        <fgColor theme="8" tint="-0.499984740745262"/>
        <bgColor indexed="64"/>
      </patternFill>
    </fill>
    <fill>
      <patternFill patternType="solid">
        <fgColor theme="4" tint="0.79998168889431442"/>
        <bgColor rgb="FFDCE6F1"/>
      </patternFill>
    </fill>
    <fill>
      <patternFill patternType="solid">
        <fgColor rgb="FFFFFFFF"/>
        <bgColor rgb="FFFFFFFF"/>
      </patternFill>
    </fill>
    <fill>
      <patternFill patternType="solid">
        <fgColor theme="0"/>
        <bgColor indexed="64"/>
      </patternFill>
    </fill>
    <fill>
      <patternFill patternType="solid">
        <fgColor theme="0"/>
        <bgColor rgb="FFDCE6F1"/>
      </patternFill>
    </fill>
    <fill>
      <patternFill patternType="solid">
        <fgColor theme="8" tint="0.59999389629810485"/>
        <bgColor indexed="64"/>
      </patternFill>
    </fill>
    <fill>
      <patternFill patternType="solid">
        <fgColor theme="6" tint="0.59999389629810485"/>
        <bgColor rgb="FFDCE6F1"/>
      </patternFill>
    </fill>
    <fill>
      <patternFill patternType="solid">
        <fgColor theme="4" tint="-0.249977111117893"/>
        <bgColor rgb="FFDCE6F1"/>
      </patternFill>
    </fill>
    <fill>
      <patternFill patternType="solid">
        <fgColor theme="4"/>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rgb="FFFFFF00"/>
        <bgColor rgb="FFDCE6F1"/>
      </patternFill>
    </fill>
    <fill>
      <patternFill patternType="solid">
        <fgColor rgb="FFDCE6F1"/>
        <bgColor rgb="FFFFFFFF"/>
      </patternFill>
    </fill>
  </fills>
  <borders count="21">
    <border>
      <left/>
      <right/>
      <top/>
      <bottom/>
      <diagonal/>
    </border>
    <border>
      <left style="thin">
        <color indexed="64"/>
      </left>
      <right style="thin">
        <color indexed="64"/>
      </right>
      <top style="thick">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style="thick">
        <color indexed="64"/>
      </left>
      <right style="thin">
        <color indexed="64"/>
      </right>
      <top style="thick">
        <color indexed="64"/>
      </top>
      <bottom style="thick">
        <color indexed="64"/>
      </bottom>
      <diagonal/>
    </border>
    <border>
      <left/>
      <right/>
      <top style="thick">
        <color indexed="64"/>
      </top>
      <bottom/>
      <diagonal/>
    </border>
    <border>
      <left/>
      <right style="thin">
        <color indexed="64"/>
      </right>
      <top/>
      <bottom/>
      <diagonal/>
    </border>
    <border>
      <left style="thin">
        <color indexed="64"/>
      </left>
      <right/>
      <top/>
      <bottom/>
      <diagonal/>
    </border>
    <border>
      <left/>
      <right style="thin">
        <color indexed="64"/>
      </right>
      <top style="thick">
        <color indexed="64"/>
      </top>
      <bottom style="thick">
        <color indexed="64"/>
      </bottom>
      <diagonal/>
    </border>
    <border>
      <left style="thin">
        <color indexed="64"/>
      </left>
      <right/>
      <top/>
      <bottom style="thin">
        <color indexed="64"/>
      </bottom>
      <diagonal/>
    </border>
    <border>
      <left style="thin">
        <color indexed="64"/>
      </left>
      <right/>
      <top style="thick">
        <color indexed="64"/>
      </top>
      <bottom style="thick">
        <color indexed="64"/>
      </bottom>
      <diagonal/>
    </border>
    <border>
      <left style="thin">
        <color indexed="64"/>
      </left>
      <right/>
      <top/>
      <bottom style="thick">
        <color indexed="64"/>
      </bottom>
      <diagonal/>
    </border>
    <border>
      <left style="thin">
        <color indexed="64"/>
      </left>
      <right/>
      <top style="thick">
        <color indexed="64"/>
      </top>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style="thick">
        <color indexed="64"/>
      </top>
      <bottom/>
      <diagonal/>
    </border>
    <border>
      <left style="medium">
        <color indexed="64"/>
      </left>
      <right style="medium">
        <color indexed="64"/>
      </right>
      <top style="thick">
        <color indexed="64"/>
      </top>
      <bottom/>
      <diagonal/>
    </border>
    <border>
      <left style="thick">
        <color indexed="64"/>
      </left>
      <right/>
      <top/>
      <bottom/>
      <diagonal/>
    </border>
    <border>
      <left style="thin">
        <color indexed="64"/>
      </left>
      <right style="thin">
        <color indexed="64"/>
      </right>
      <top/>
      <bottom style="thick">
        <color indexed="64"/>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s>
  <cellStyleXfs count="7">
    <xf numFmtId="0" fontId="0" fillId="0" borderId="0"/>
    <xf numFmtId="0" fontId="21" fillId="2" borderId="0" applyNumberFormat="0" applyBorder="0" applyAlignment="0" applyProtection="0"/>
    <xf numFmtId="0" fontId="22" fillId="3" borderId="0" applyNumberFormat="0" applyBorder="0" applyAlignment="0" applyProtection="0"/>
    <xf numFmtId="0" fontId="23" fillId="0" borderId="0" applyNumberFormat="0" applyFill="0" applyBorder="0" applyAlignment="0" applyProtection="0"/>
    <xf numFmtId="0" fontId="20" fillId="0" borderId="0"/>
    <xf numFmtId="0" fontId="4" fillId="0" borderId="0"/>
    <xf numFmtId="0" fontId="2" fillId="0" borderId="0"/>
  </cellStyleXfs>
  <cellXfs count="188">
    <xf numFmtId="0" fontId="0" fillId="0" borderId="0" xfId="0"/>
    <xf numFmtId="0" fontId="0" fillId="0" borderId="0" xfId="0" applyAlignment="1">
      <alignment horizontal="center"/>
    </xf>
    <xf numFmtId="0" fontId="24" fillId="0" borderId="0" xfId="0" applyFont="1"/>
    <xf numFmtId="0" fontId="25" fillId="0" borderId="0" xfId="0" applyFont="1" applyAlignment="1">
      <alignment vertical="top" wrapText="1"/>
    </xf>
    <xf numFmtId="0" fontId="25" fillId="0" borderId="0" xfId="0" applyFont="1" applyAlignment="1">
      <alignment horizontal="left" vertical="top" wrapText="1"/>
    </xf>
    <xf numFmtId="0" fontId="26" fillId="4" borderId="0" xfId="0" applyFont="1" applyFill="1" applyAlignment="1">
      <alignment vertical="top" wrapText="1"/>
    </xf>
    <xf numFmtId="0" fontId="27" fillId="5" borderId="0" xfId="0" applyFont="1" applyFill="1" applyAlignment="1">
      <alignment horizontal="center" vertical="center"/>
    </xf>
    <xf numFmtId="0" fontId="28" fillId="5" borderId="0" xfId="0" applyFont="1" applyFill="1" applyAlignment="1">
      <alignment horizontal="left" vertical="top" wrapText="1"/>
    </xf>
    <xf numFmtId="0" fontId="29" fillId="6" borderId="0" xfId="0" applyFont="1" applyFill="1"/>
    <xf numFmtId="0" fontId="29" fillId="7" borderId="0" xfId="0" applyFont="1" applyFill="1"/>
    <xf numFmtId="0" fontId="30" fillId="4" borderId="0" xfId="0" applyFont="1" applyFill="1" applyAlignment="1">
      <alignment vertical="top" wrapText="1"/>
    </xf>
    <xf numFmtId="0" fontId="27" fillId="6" borderId="0" xfId="0" applyFont="1" applyFill="1" applyAlignment="1">
      <alignment horizontal="center" vertical="center"/>
    </xf>
    <xf numFmtId="0" fontId="28" fillId="8" borderId="0" xfId="0" applyFont="1" applyFill="1" applyAlignment="1">
      <alignment horizontal="left" vertical="top" wrapText="1"/>
    </xf>
    <xf numFmtId="0" fontId="29" fillId="6" borderId="0" xfId="0" applyFont="1" applyFill="1" applyAlignment="1">
      <alignment vertical="top"/>
    </xf>
    <xf numFmtId="0" fontId="27" fillId="9" borderId="0" xfId="0" applyFont="1" applyFill="1" applyAlignment="1">
      <alignment horizontal="center" vertical="center"/>
    </xf>
    <xf numFmtId="0" fontId="29" fillId="0" borderId="0" xfId="0" applyFont="1"/>
    <xf numFmtId="0" fontId="27" fillId="10" borderId="0" xfId="0" applyFont="1" applyFill="1" applyAlignment="1">
      <alignment horizontal="center" vertical="center"/>
    </xf>
    <xf numFmtId="0" fontId="28" fillId="11" borderId="0" xfId="0" applyFont="1" applyFill="1" applyAlignment="1">
      <alignment horizontal="left" vertical="top" wrapText="1"/>
    </xf>
    <xf numFmtId="0" fontId="29" fillId="0" borderId="0" xfId="0" applyFont="1" applyAlignment="1">
      <alignment vertical="top" wrapText="1"/>
    </xf>
    <xf numFmtId="0" fontId="31" fillId="0" borderId="0" xfId="0" applyFont="1" applyAlignment="1">
      <alignment vertical="center" wrapText="1"/>
    </xf>
    <xf numFmtId="0" fontId="29" fillId="6" borderId="0" xfId="0" applyFont="1" applyFill="1" applyAlignment="1">
      <alignment vertical="top" wrapText="1"/>
    </xf>
    <xf numFmtId="0" fontId="29" fillId="6" borderId="0" xfId="0" applyFont="1" applyFill="1" applyAlignment="1">
      <alignment wrapText="1"/>
    </xf>
    <xf numFmtId="0" fontId="29" fillId="0" borderId="0" xfId="0" applyFont="1" applyAlignment="1">
      <alignment wrapText="1"/>
    </xf>
    <xf numFmtId="0" fontId="13" fillId="12" borderId="0" xfId="0" applyFont="1" applyFill="1" applyAlignment="1">
      <alignment horizontal="center" wrapText="1"/>
    </xf>
    <xf numFmtId="0" fontId="28" fillId="0" borderId="0" xfId="0" applyFont="1" applyAlignment="1">
      <alignment horizontal="left" vertical="top" wrapText="1"/>
    </xf>
    <xf numFmtId="0" fontId="32" fillId="13" borderId="1" xfId="0" applyFont="1" applyFill="1" applyBorder="1" applyAlignment="1">
      <alignment horizontal="center" vertical="center" wrapText="1"/>
    </xf>
    <xf numFmtId="0" fontId="32" fillId="0" borderId="1" xfId="0" applyFont="1" applyBorder="1" applyAlignment="1" applyProtection="1">
      <alignment horizontal="center" vertical="center" wrapText="1"/>
      <protection locked="0"/>
    </xf>
    <xf numFmtId="0" fontId="33" fillId="0" borderId="0" xfId="0" applyFont="1" applyAlignment="1" applyProtection="1">
      <alignment horizontal="center" vertical="center"/>
      <protection locked="0"/>
    </xf>
    <xf numFmtId="0" fontId="0" fillId="0" borderId="0" xfId="0" applyProtection="1">
      <protection locked="0"/>
    </xf>
    <xf numFmtId="0" fontId="0" fillId="0" borderId="0" xfId="0" applyAlignment="1" applyProtection="1">
      <alignment horizontal="left" vertical="top" wrapText="1"/>
      <protection locked="0"/>
    </xf>
    <xf numFmtId="0" fontId="34" fillId="0" borderId="2" xfId="0" applyFont="1" applyBorder="1" applyAlignment="1" applyProtection="1">
      <alignment horizontal="center" vertical="center"/>
      <protection locked="0"/>
    </xf>
    <xf numFmtId="0" fontId="35" fillId="0" borderId="4" xfId="0" applyFont="1" applyBorder="1" applyAlignment="1" applyProtection="1">
      <alignment horizontal="left" wrapText="1"/>
      <protection locked="0"/>
    </xf>
    <xf numFmtId="0" fontId="35" fillId="0" borderId="1" xfId="0" applyFont="1" applyBorder="1" applyAlignment="1" applyProtection="1">
      <alignment horizontal="left" wrapText="1"/>
      <protection locked="0"/>
    </xf>
    <xf numFmtId="0" fontId="35" fillId="0" borderId="3" xfId="0" applyFont="1" applyBorder="1" applyAlignment="1" applyProtection="1">
      <alignment horizontal="left" wrapText="1"/>
      <protection locked="0"/>
    </xf>
    <xf numFmtId="0" fontId="25" fillId="4" borderId="0" xfId="0" applyFont="1" applyFill="1" applyAlignment="1" applyProtection="1">
      <alignment vertical="top" wrapText="1"/>
      <protection locked="0"/>
    </xf>
    <xf numFmtId="0" fontId="36" fillId="4" borderId="0" xfId="0" applyFont="1" applyFill="1" applyAlignment="1" applyProtection="1">
      <alignment horizontal="center" vertical="center" wrapText="1"/>
      <protection locked="0"/>
    </xf>
    <xf numFmtId="0" fontId="37" fillId="0" borderId="0" xfId="0" applyFont="1" applyAlignment="1" applyProtection="1">
      <alignment horizontal="right" vertical="center"/>
      <protection locked="0"/>
    </xf>
    <xf numFmtId="0" fontId="38" fillId="0" borderId="0" xfId="0" applyFont="1" applyAlignment="1" applyProtection="1">
      <alignment horizontal="right" vertical="top" wrapText="1"/>
      <protection locked="0"/>
    </xf>
    <xf numFmtId="0" fontId="32" fillId="0" borderId="0" xfId="0" applyFont="1" applyAlignment="1" applyProtection="1">
      <alignment horizontal="center" vertical="center" wrapText="1"/>
      <protection locked="0"/>
    </xf>
    <xf numFmtId="0" fontId="38" fillId="5" borderId="1" xfId="0" applyFont="1" applyFill="1" applyBorder="1" applyAlignment="1" applyProtection="1">
      <alignment horizontal="left" vertical="top" wrapText="1"/>
      <protection locked="0"/>
    </xf>
    <xf numFmtId="0" fontId="35" fillId="0" borderId="1" xfId="0" applyFont="1" applyBorder="1" applyAlignment="1" applyProtection="1">
      <alignment horizontal="center" vertical="center"/>
      <protection locked="0"/>
    </xf>
    <xf numFmtId="0" fontId="32" fillId="0" borderId="1" xfId="0" applyFont="1" applyBorder="1" applyAlignment="1" applyProtection="1">
      <alignment horizontal="left" vertical="center" wrapText="1"/>
      <protection locked="0"/>
    </xf>
    <xf numFmtId="0" fontId="25" fillId="4" borderId="0" xfId="0" applyFont="1" applyFill="1" applyAlignment="1" applyProtection="1">
      <alignment horizontal="left" vertical="top" wrapText="1"/>
      <protection locked="0"/>
    </xf>
    <xf numFmtId="0" fontId="25" fillId="4" borderId="0" xfId="0" applyFont="1" applyFill="1" applyAlignment="1" applyProtection="1">
      <alignment horizontal="right" vertical="top" wrapText="1"/>
      <protection locked="0"/>
    </xf>
    <xf numFmtId="0" fontId="0" fillId="0" borderId="3" xfId="0" applyBorder="1" applyAlignment="1" applyProtection="1">
      <alignment horizontal="left" vertical="top" wrapText="1"/>
      <protection locked="0"/>
    </xf>
    <xf numFmtId="0" fontId="0" fillId="0" borderId="5" xfId="0" applyBorder="1" applyAlignment="1" applyProtection="1">
      <alignment horizontal="left" vertical="top" wrapText="1"/>
      <protection locked="0"/>
    </xf>
    <xf numFmtId="0" fontId="25" fillId="4" borderId="6" xfId="0" applyFont="1" applyFill="1" applyBorder="1" applyAlignment="1" applyProtection="1">
      <alignment vertical="top" wrapText="1"/>
      <protection locked="0"/>
    </xf>
    <xf numFmtId="0" fontId="0" fillId="7" borderId="0" xfId="0" applyFill="1" applyProtection="1">
      <protection locked="0"/>
    </xf>
    <xf numFmtId="0" fontId="33" fillId="0" borderId="0" xfId="0" applyFont="1" applyProtection="1">
      <protection locked="0"/>
    </xf>
    <xf numFmtId="0" fontId="0" fillId="10" borderId="0" xfId="0" applyFill="1" applyProtection="1">
      <protection locked="0"/>
    </xf>
    <xf numFmtId="0" fontId="0" fillId="6" borderId="0" xfId="0" applyFill="1" applyProtection="1">
      <protection locked="0"/>
    </xf>
    <xf numFmtId="0" fontId="0" fillId="0" borderId="7" xfId="0" applyBorder="1" applyProtection="1">
      <protection locked="0"/>
    </xf>
    <xf numFmtId="0" fontId="25" fillId="4" borderId="0" xfId="0" applyFont="1" applyFill="1" applyAlignment="1" applyProtection="1">
      <alignment vertical="top"/>
      <protection locked="0"/>
    </xf>
    <xf numFmtId="0" fontId="39" fillId="4" borderId="0" xfId="0" applyFont="1" applyFill="1" applyAlignment="1" applyProtection="1">
      <alignment vertical="top" wrapText="1"/>
      <protection locked="0"/>
    </xf>
    <xf numFmtId="0" fontId="39" fillId="4" borderId="0" xfId="0" applyFont="1" applyFill="1" applyAlignment="1" applyProtection="1">
      <alignment horizontal="center" vertical="center" wrapText="1"/>
      <protection locked="0"/>
    </xf>
    <xf numFmtId="0" fontId="38" fillId="8" borderId="0" xfId="0" applyFont="1" applyFill="1" applyAlignment="1" applyProtection="1">
      <alignment horizontal="left" vertical="top" wrapText="1"/>
      <protection locked="0"/>
    </xf>
    <xf numFmtId="0" fontId="32" fillId="0" borderId="3" xfId="0" applyFont="1" applyBorder="1" applyAlignment="1" applyProtection="1">
      <alignment horizontal="center" vertical="center" wrapText="1"/>
      <protection locked="0"/>
    </xf>
    <xf numFmtId="0" fontId="38" fillId="0" borderId="5" xfId="0" applyFont="1" applyBorder="1" applyAlignment="1" applyProtection="1">
      <alignment horizontal="right" vertical="top" wrapText="1"/>
      <protection locked="0"/>
    </xf>
    <xf numFmtId="0" fontId="0" fillId="0" borderId="0" xfId="0" applyAlignment="1" applyProtection="1">
      <alignment wrapText="1"/>
      <protection locked="0"/>
    </xf>
    <xf numFmtId="0" fontId="32" fillId="0" borderId="1" xfId="0" applyFont="1" applyBorder="1" applyAlignment="1">
      <alignment horizontal="left" vertical="center" wrapText="1"/>
    </xf>
    <xf numFmtId="0" fontId="33" fillId="0" borderId="0" xfId="0" applyFont="1" applyAlignment="1">
      <alignment horizontal="left" vertical="center" wrapText="1"/>
    </xf>
    <xf numFmtId="0" fontId="33" fillId="0" borderId="0" xfId="0" applyFont="1" applyAlignment="1">
      <alignment vertical="center" wrapText="1"/>
    </xf>
    <xf numFmtId="0" fontId="32" fillId="0" borderId="1" xfId="0" applyFont="1" applyBorder="1" applyAlignment="1">
      <alignment horizontal="left" vertical="center"/>
    </xf>
    <xf numFmtId="0" fontId="33" fillId="0" borderId="0" xfId="0" applyFont="1" applyAlignment="1">
      <alignment vertical="center"/>
    </xf>
    <xf numFmtId="0" fontId="35" fillId="5" borderId="1" xfId="0" applyFont="1" applyFill="1" applyBorder="1" applyAlignment="1" applyProtection="1">
      <alignment horizontal="center" vertical="center"/>
      <protection locked="0"/>
    </xf>
    <xf numFmtId="0" fontId="36" fillId="4" borderId="0" xfId="0" applyFont="1" applyFill="1" applyAlignment="1" applyProtection="1">
      <alignment vertical="top" wrapText="1"/>
      <protection locked="0"/>
    </xf>
    <xf numFmtId="0" fontId="32" fillId="0" borderId="0" xfId="0" applyFont="1" applyAlignment="1" applyProtection="1">
      <alignment horizontal="left" vertical="top" wrapText="1"/>
      <protection locked="0"/>
    </xf>
    <xf numFmtId="0" fontId="33" fillId="7" borderId="0" xfId="0" applyFont="1" applyFill="1" applyProtection="1">
      <protection locked="0"/>
    </xf>
    <xf numFmtId="0" fontId="32" fillId="8" borderId="0" xfId="0" applyFont="1" applyFill="1" applyAlignment="1" applyProtection="1">
      <alignment horizontal="left" vertical="top" wrapText="1"/>
      <protection locked="0"/>
    </xf>
    <xf numFmtId="0" fontId="33" fillId="0" borderId="0" xfId="0" applyFont="1" applyAlignment="1" applyProtection="1">
      <alignment wrapText="1"/>
      <protection locked="0"/>
    </xf>
    <xf numFmtId="0" fontId="20" fillId="0" borderId="2" xfId="4" applyBorder="1" applyAlignment="1">
      <alignment vertical="top" wrapText="1"/>
    </xf>
    <xf numFmtId="0" fontId="20" fillId="0" borderId="0" xfId="4"/>
    <xf numFmtId="0" fontId="35" fillId="0" borderId="2" xfId="4" applyFont="1" applyBorder="1" applyAlignment="1">
      <alignment horizontal="left" wrapText="1"/>
    </xf>
    <xf numFmtId="0" fontId="35" fillId="0" borderId="2" xfId="4" applyFont="1" applyBorder="1" applyAlignment="1">
      <alignment horizontal="left" vertical="top" wrapText="1"/>
    </xf>
    <xf numFmtId="0" fontId="20" fillId="0" borderId="2" xfId="4" applyBorder="1"/>
    <xf numFmtId="0" fontId="20" fillId="0" borderId="2" xfId="4" applyBorder="1" applyAlignment="1">
      <alignment wrapText="1"/>
    </xf>
    <xf numFmtId="0" fontId="35" fillId="5" borderId="2" xfId="4" applyFont="1" applyFill="1" applyBorder="1" applyAlignment="1">
      <alignment horizontal="center" vertical="center"/>
    </xf>
    <xf numFmtId="0" fontId="32" fillId="5" borderId="2" xfId="4" applyFont="1" applyFill="1" applyBorder="1" applyAlignment="1">
      <alignment horizontal="left" vertical="top" wrapText="1"/>
    </xf>
    <xf numFmtId="0" fontId="32" fillId="5" borderId="2" xfId="4" applyFont="1" applyFill="1" applyBorder="1" applyAlignment="1">
      <alignment horizontal="center" vertical="center"/>
    </xf>
    <xf numFmtId="0" fontId="33" fillId="0" borderId="8" xfId="0" applyFont="1" applyBorder="1" applyAlignment="1">
      <alignment horizontal="left" vertical="top" wrapText="1"/>
    </xf>
    <xf numFmtId="0" fontId="35" fillId="0" borderId="2" xfId="4" applyFont="1" applyBorder="1" applyAlignment="1">
      <alignment horizontal="center" vertical="center"/>
    </xf>
    <xf numFmtId="0" fontId="32" fillId="0" borderId="2" xfId="4" applyFont="1" applyBorder="1" applyAlignment="1">
      <alignment horizontal="left" vertical="top" wrapText="1"/>
    </xf>
    <xf numFmtId="0" fontId="32" fillId="0" borderId="2" xfId="4" applyFont="1" applyBorder="1" applyAlignment="1">
      <alignment horizontal="center" vertical="center"/>
    </xf>
    <xf numFmtId="0" fontId="35" fillId="9" borderId="2" xfId="4" applyFont="1" applyFill="1" applyBorder="1" applyAlignment="1">
      <alignment horizontal="center" vertical="center"/>
    </xf>
    <xf numFmtId="0" fontId="32" fillId="9" borderId="2" xfId="4" applyFont="1" applyFill="1" applyBorder="1" applyAlignment="1">
      <alignment horizontal="left" vertical="top" wrapText="1"/>
    </xf>
    <xf numFmtId="0" fontId="32" fillId="9" borderId="2" xfId="4" applyFont="1" applyFill="1" applyBorder="1" applyAlignment="1">
      <alignment horizontal="center" vertical="center"/>
    </xf>
    <xf numFmtId="0" fontId="20" fillId="0" borderId="0" xfId="4" applyAlignment="1">
      <alignment wrapText="1"/>
    </xf>
    <xf numFmtId="0" fontId="20" fillId="0" borderId="0" xfId="4" applyAlignment="1">
      <alignment vertical="top" wrapText="1"/>
    </xf>
    <xf numFmtId="0" fontId="34" fillId="0" borderId="9" xfId="0" applyFont="1" applyBorder="1" applyAlignment="1">
      <alignment horizontal="center" vertical="center"/>
    </xf>
    <xf numFmtId="0" fontId="34" fillId="0" borderId="2" xfId="0" applyFont="1" applyBorder="1" applyAlignment="1">
      <alignment horizontal="center" vertical="center"/>
    </xf>
    <xf numFmtId="0" fontId="40" fillId="6" borderId="0" xfId="0" applyFont="1" applyFill="1" applyAlignment="1">
      <alignment horizontal="center" vertical="center"/>
    </xf>
    <xf numFmtId="0" fontId="32" fillId="14" borderId="10" xfId="0" applyFont="1" applyFill="1" applyBorder="1" applyAlignment="1">
      <alignment horizontal="left" vertical="top" wrapText="1"/>
    </xf>
    <xf numFmtId="0" fontId="40" fillId="6" borderId="11" xfId="0" applyFont="1" applyFill="1" applyBorder="1" applyAlignment="1">
      <alignment horizontal="center" vertical="center"/>
    </xf>
    <xf numFmtId="0" fontId="33" fillId="15" borderId="10" xfId="0" applyFont="1" applyFill="1" applyBorder="1" applyAlignment="1">
      <alignment horizontal="left" vertical="top" wrapText="1"/>
    </xf>
    <xf numFmtId="0" fontId="33" fillId="6" borderId="10" xfId="0" applyFont="1" applyFill="1" applyBorder="1" applyAlignment="1">
      <alignment horizontal="left" vertical="top" wrapText="1"/>
    </xf>
    <xf numFmtId="0" fontId="33" fillId="6" borderId="0" xfId="0" applyFont="1" applyFill="1" applyAlignment="1">
      <alignment horizontal="left" vertical="top" wrapText="1"/>
    </xf>
    <xf numFmtId="0" fontId="33" fillId="0" borderId="0" xfId="0" applyFont="1" applyAlignment="1">
      <alignment horizontal="left" vertical="top" wrapText="1"/>
    </xf>
    <xf numFmtId="0" fontId="32" fillId="5" borderId="1" xfId="0" applyFont="1" applyFill="1" applyBorder="1" applyAlignment="1">
      <alignment horizontal="center" vertical="center" wrapText="1"/>
    </xf>
    <xf numFmtId="0" fontId="33" fillId="16" borderId="0" xfId="0" applyFont="1" applyFill="1" applyAlignment="1">
      <alignment vertical="top" wrapText="1"/>
    </xf>
    <xf numFmtId="0" fontId="40" fillId="0" borderId="0" xfId="0" applyFont="1" applyAlignment="1">
      <alignment horizontal="center" vertical="center"/>
    </xf>
    <xf numFmtId="0" fontId="32" fillId="14" borderId="4" xfId="0" applyFont="1" applyFill="1" applyBorder="1" applyAlignment="1">
      <alignment horizontal="left" vertical="top" wrapText="1"/>
    </xf>
    <xf numFmtId="0" fontId="33" fillId="17" borderId="13" xfId="0" applyFont="1" applyFill="1" applyBorder="1" applyAlignment="1">
      <alignment horizontal="center" vertical="center" wrapText="1"/>
    </xf>
    <xf numFmtId="0" fontId="33" fillId="16" borderId="10" xfId="0" applyFont="1" applyFill="1" applyBorder="1" applyAlignment="1">
      <alignment vertical="top" wrapText="1"/>
    </xf>
    <xf numFmtId="0" fontId="33" fillId="0" borderId="0" xfId="0" applyFont="1" applyAlignment="1">
      <alignment horizontal="center" vertical="center" wrapText="1"/>
    </xf>
    <xf numFmtId="0" fontId="33" fillId="6" borderId="0" xfId="0" applyFont="1" applyFill="1" applyAlignment="1">
      <alignment horizontal="center" vertical="center" wrapText="1"/>
    </xf>
    <xf numFmtId="0" fontId="32" fillId="14" borderId="1" xfId="0" applyFont="1" applyFill="1" applyBorder="1" applyAlignment="1">
      <alignment horizontal="left" vertical="top" wrapText="1"/>
    </xf>
    <xf numFmtId="0" fontId="32" fillId="0" borderId="10" xfId="0" applyFont="1" applyBorder="1" applyAlignment="1" applyProtection="1">
      <alignment horizontal="left" vertical="center" wrapText="1"/>
      <protection locked="0"/>
    </xf>
    <xf numFmtId="0" fontId="33" fillId="6" borderId="11" xfId="0" applyFont="1" applyFill="1" applyBorder="1" applyAlignment="1">
      <alignment horizontal="left" vertical="top" wrapText="1"/>
    </xf>
    <xf numFmtId="0" fontId="37" fillId="5" borderId="14" xfId="0" applyFont="1" applyFill="1" applyBorder="1" applyAlignment="1" applyProtection="1">
      <alignment horizontal="center" vertical="center"/>
      <protection locked="0"/>
    </xf>
    <xf numFmtId="0" fontId="32" fillId="18" borderId="14" xfId="0" applyFont="1" applyFill="1" applyBorder="1" applyAlignment="1" applyProtection="1">
      <alignment horizontal="center" vertical="center" wrapText="1"/>
      <protection locked="0"/>
    </xf>
    <xf numFmtId="0" fontId="35" fillId="0" borderId="10" xfId="0" applyFont="1" applyBorder="1" applyAlignment="1" applyProtection="1">
      <alignment horizontal="center" vertical="center"/>
      <protection locked="0"/>
    </xf>
    <xf numFmtId="0" fontId="32" fillId="0" borderId="8" xfId="0" applyFont="1" applyBorder="1" applyAlignment="1" applyProtection="1">
      <alignment horizontal="center" vertical="center"/>
      <protection locked="0"/>
    </xf>
    <xf numFmtId="0" fontId="32" fillId="0" borderId="15" xfId="0" applyFont="1" applyBorder="1" applyAlignment="1" applyProtection="1">
      <alignment horizontal="left" vertical="center"/>
      <protection locked="0"/>
    </xf>
    <xf numFmtId="0" fontId="0" fillId="0" borderId="16" xfId="0" applyBorder="1" applyProtection="1">
      <protection locked="0"/>
    </xf>
    <xf numFmtId="0" fontId="35" fillId="0" borderId="12" xfId="0" applyFont="1" applyBorder="1" applyAlignment="1" applyProtection="1">
      <alignment horizontal="left" wrapText="1"/>
      <protection locked="0"/>
    </xf>
    <xf numFmtId="0" fontId="32" fillId="0" borderId="5" xfId="0" applyFont="1" applyBorder="1" applyAlignment="1" applyProtection="1">
      <alignment horizontal="center" vertical="center" wrapText="1"/>
      <protection locked="0"/>
    </xf>
    <xf numFmtId="0" fontId="33" fillId="0" borderId="17" xfId="0" applyFont="1" applyBorder="1" applyAlignment="1">
      <alignment vertical="center" wrapText="1"/>
    </xf>
    <xf numFmtId="0" fontId="33" fillId="0" borderId="1" xfId="0" applyFont="1" applyBorder="1" applyAlignment="1" applyProtection="1">
      <alignment horizontal="center" vertical="center"/>
      <protection locked="0"/>
    </xf>
    <xf numFmtId="0" fontId="35" fillId="0" borderId="18" xfId="0" applyFont="1" applyBorder="1" applyAlignment="1" applyProtection="1">
      <alignment horizontal="center" vertical="center"/>
      <protection locked="0"/>
    </xf>
    <xf numFmtId="0" fontId="21" fillId="0" borderId="0" xfId="1" applyFill="1"/>
    <xf numFmtId="0" fontId="33" fillId="0" borderId="1" xfId="0" applyFont="1" applyBorder="1" applyAlignment="1">
      <alignment vertical="center" wrapText="1"/>
    </xf>
    <xf numFmtId="0" fontId="32" fillId="0" borderId="10" xfId="0" applyFont="1" applyBorder="1" applyAlignment="1" applyProtection="1">
      <alignment horizontal="center" vertical="center" wrapText="1"/>
      <protection locked="0"/>
    </xf>
    <xf numFmtId="0" fontId="33" fillId="0" borderId="1" xfId="0" applyFont="1" applyBorder="1" applyAlignment="1">
      <alignment horizontal="left" vertical="top" wrapText="1"/>
    </xf>
    <xf numFmtId="0" fontId="7" fillId="0" borderId="2" xfId="0" applyFont="1" applyBorder="1" applyAlignment="1">
      <alignment vertical="top" wrapText="1"/>
    </xf>
    <xf numFmtId="0" fontId="9" fillId="0" borderId="2" xfId="0" applyFont="1" applyBorder="1" applyAlignment="1" applyProtection="1">
      <alignment vertical="top" wrapText="1"/>
      <protection locked="0"/>
    </xf>
    <xf numFmtId="0" fontId="7" fillId="0" borderId="2" xfId="0" applyFont="1" applyBorder="1" applyAlignment="1" applyProtection="1">
      <alignment horizontal="center" vertical="center" wrapText="1"/>
      <protection locked="0"/>
    </xf>
    <xf numFmtId="0" fontId="7" fillId="0" borderId="2" xfId="0" applyFont="1" applyBorder="1" applyAlignment="1" applyProtection="1">
      <alignment vertical="top" wrapText="1"/>
      <protection locked="0"/>
    </xf>
    <xf numFmtId="0" fontId="15" fillId="0" borderId="2" xfId="0" applyFont="1" applyBorder="1" applyAlignment="1" applyProtection="1">
      <alignment vertical="top" wrapText="1"/>
      <protection locked="0"/>
    </xf>
    <xf numFmtId="0" fontId="41" fillId="3" borderId="2" xfId="2" applyFont="1" applyBorder="1" applyAlignment="1" applyProtection="1">
      <alignment horizontal="center"/>
    </xf>
    <xf numFmtId="0" fontId="41" fillId="2" borderId="2" xfId="1" applyFont="1" applyBorder="1" applyAlignment="1" applyProtection="1">
      <alignment horizontal="center"/>
    </xf>
    <xf numFmtId="164" fontId="35" fillId="5" borderId="2" xfId="0" applyNumberFormat="1" applyFont="1" applyFill="1" applyBorder="1" applyAlignment="1">
      <alignment horizontal="center" vertical="center" wrapText="1"/>
    </xf>
    <xf numFmtId="0" fontId="41" fillId="10" borderId="2" xfId="2" applyFont="1" applyFill="1" applyBorder="1" applyAlignment="1" applyProtection="1">
      <alignment horizontal="center"/>
    </xf>
    <xf numFmtId="0" fontId="34" fillId="10" borderId="2" xfId="0" applyFont="1" applyFill="1" applyBorder="1" applyAlignment="1">
      <alignment horizontal="center" vertical="center"/>
    </xf>
    <xf numFmtId="0" fontId="38" fillId="19" borderId="1" xfId="5" applyFont="1" applyFill="1" applyBorder="1" applyAlignment="1">
      <alignment horizontal="left" vertical="top" wrapText="1"/>
    </xf>
    <xf numFmtId="0" fontId="4" fillId="0" borderId="0" xfId="4" applyFont="1"/>
    <xf numFmtId="0" fontId="32" fillId="11" borderId="0" xfId="0" applyFont="1" applyFill="1" applyAlignment="1">
      <alignment horizontal="left" vertical="top" wrapText="1"/>
    </xf>
    <xf numFmtId="0" fontId="43" fillId="0" borderId="0" xfId="4" applyFont="1"/>
    <xf numFmtId="0" fontId="5" fillId="5" borderId="1" xfId="0" applyFont="1" applyFill="1" applyBorder="1" applyAlignment="1" applyProtection="1">
      <alignment horizontal="left" vertical="top" wrapText="1"/>
      <protection locked="0"/>
    </xf>
    <xf numFmtId="0" fontId="0" fillId="0" borderId="0" xfId="0" applyAlignment="1">
      <alignment wrapText="1"/>
    </xf>
    <xf numFmtId="0" fontId="23" fillId="0" borderId="0" xfId="3" applyAlignment="1">
      <alignment horizontal="center"/>
    </xf>
    <xf numFmtId="0" fontId="23" fillId="0" borderId="0" xfId="3" applyAlignment="1">
      <alignment horizontal="center" vertical="center"/>
    </xf>
    <xf numFmtId="0" fontId="44" fillId="0" borderId="0" xfId="0" applyFont="1" applyAlignment="1">
      <alignment horizontal="center"/>
    </xf>
    <xf numFmtId="0" fontId="38" fillId="5" borderId="1" xfId="5" applyFont="1" applyFill="1" applyBorder="1" applyAlignment="1">
      <alignment horizontal="left" vertical="top" wrapText="1"/>
    </xf>
    <xf numFmtId="0" fontId="45" fillId="0" borderId="0" xfId="0" applyFont="1" applyProtection="1">
      <protection locked="0"/>
    </xf>
    <xf numFmtId="0" fontId="45" fillId="10" borderId="0" xfId="0" applyFont="1" applyFill="1" applyProtection="1">
      <protection locked="0"/>
    </xf>
    <xf numFmtId="0" fontId="3" fillId="6" borderId="10" xfId="0" applyFont="1" applyFill="1" applyBorder="1" applyAlignment="1" applyProtection="1">
      <alignment horizontal="left" vertical="top" wrapText="1"/>
      <protection locked="0"/>
    </xf>
    <xf numFmtId="0" fontId="23" fillId="0" borderId="0" xfId="3" applyFill="1" applyAlignment="1">
      <alignment horizontal="center"/>
    </xf>
    <xf numFmtId="0" fontId="33" fillId="10" borderId="8" xfId="0" applyFont="1" applyFill="1" applyBorder="1" applyAlignment="1" applyProtection="1">
      <alignment horizontal="left" vertical="center" wrapText="1"/>
      <protection locked="0"/>
    </xf>
    <xf numFmtId="0" fontId="35" fillId="0" borderId="8" xfId="0" applyFont="1" applyBorder="1" applyAlignment="1" applyProtection="1">
      <alignment horizontal="left" wrapText="1"/>
      <protection locked="0"/>
    </xf>
    <xf numFmtId="0" fontId="35" fillId="0" borderId="0" xfId="0" applyFont="1" applyAlignment="1" applyProtection="1">
      <alignment horizontal="left" wrapText="1"/>
      <protection locked="0"/>
    </xf>
    <xf numFmtId="0" fontId="35" fillId="0" borderId="5" xfId="0" applyFont="1" applyBorder="1" applyAlignment="1" applyProtection="1">
      <alignment horizontal="left" wrapText="1"/>
      <protection locked="0"/>
    </xf>
    <xf numFmtId="0" fontId="34" fillId="0" borderId="2" xfId="4" applyFont="1" applyBorder="1" applyAlignment="1">
      <alignment horizontal="center" wrapText="1"/>
    </xf>
    <xf numFmtId="0" fontId="33" fillId="0" borderId="8" xfId="0" applyFont="1" applyBorder="1" applyAlignment="1" applyProtection="1">
      <alignment horizontal="left" vertical="top" wrapText="1"/>
      <protection locked="0"/>
    </xf>
    <xf numFmtId="0" fontId="0" fillId="0" borderId="1" xfId="0" quotePrefix="1" applyBorder="1" applyAlignment="1" applyProtection="1">
      <alignment wrapText="1"/>
      <protection locked="0"/>
    </xf>
    <xf numFmtId="0" fontId="35" fillId="0" borderId="1" xfId="0" applyFont="1" applyBorder="1" applyAlignment="1">
      <alignment horizontal="center" vertical="center"/>
    </xf>
    <xf numFmtId="0" fontId="35" fillId="0" borderId="19" xfId="0" applyFont="1" applyBorder="1" applyAlignment="1" applyProtection="1">
      <alignment horizontal="left" wrapText="1"/>
      <protection locked="0"/>
    </xf>
    <xf numFmtId="0" fontId="35" fillId="0" borderId="19" xfId="0" applyFont="1" applyBorder="1" applyAlignment="1" applyProtection="1">
      <alignment wrapText="1"/>
      <protection locked="0"/>
    </xf>
    <xf numFmtId="0" fontId="23" fillId="5" borderId="1" xfId="3" applyFill="1" applyBorder="1" applyAlignment="1" applyProtection="1">
      <alignment horizontal="center" vertical="center"/>
      <protection locked="0"/>
    </xf>
    <xf numFmtId="0" fontId="23" fillId="5" borderId="1" xfId="3" applyFill="1" applyBorder="1" applyAlignment="1" applyProtection="1">
      <alignment horizontal="center" vertical="center"/>
    </xf>
    <xf numFmtId="0" fontId="23" fillId="0" borderId="1" xfId="3" applyBorder="1" applyAlignment="1" applyProtection="1">
      <alignment horizontal="center" vertical="center"/>
      <protection locked="0"/>
    </xf>
    <xf numFmtId="0" fontId="32" fillId="5" borderId="2" xfId="4" applyFont="1" applyFill="1" applyBorder="1" applyAlignment="1">
      <alignment horizontal="center" vertical="center" wrapText="1"/>
    </xf>
    <xf numFmtId="0" fontId="32" fillId="0" borderId="2" xfId="4" applyFont="1" applyBorder="1" applyAlignment="1">
      <alignment horizontal="center" vertical="center" wrapText="1"/>
    </xf>
    <xf numFmtId="0" fontId="32" fillId="9" borderId="2" xfId="4" applyFont="1" applyFill="1" applyBorder="1" applyAlignment="1">
      <alignment horizontal="center" vertical="center" wrapText="1"/>
    </xf>
    <xf numFmtId="0" fontId="34" fillId="0" borderId="20" xfId="0" applyFont="1" applyBorder="1" applyAlignment="1">
      <alignment horizontal="center" vertical="center"/>
    </xf>
    <xf numFmtId="0" fontId="35" fillId="0" borderId="10" xfId="0" applyFont="1" applyBorder="1" applyAlignment="1" applyProtection="1">
      <alignment horizontal="left" wrapText="1"/>
      <protection locked="0"/>
    </xf>
    <xf numFmtId="0" fontId="24" fillId="0" borderId="0" xfId="0" applyFont="1" applyProtection="1">
      <protection locked="0"/>
    </xf>
    <xf numFmtId="0" fontId="32" fillId="5" borderId="2" xfId="6" applyFont="1" applyFill="1" applyBorder="1" applyAlignment="1">
      <alignment horizontal="left" vertical="top" wrapText="1"/>
    </xf>
    <xf numFmtId="0" fontId="35" fillId="5" borderId="2" xfId="6" applyFont="1" applyFill="1" applyBorder="1" applyAlignment="1">
      <alignment horizontal="center" vertical="center"/>
    </xf>
    <xf numFmtId="0" fontId="32" fillId="0" borderId="2" xfId="6" applyFont="1" applyBorder="1" applyAlignment="1">
      <alignment horizontal="left" vertical="top" wrapText="1"/>
    </xf>
    <xf numFmtId="0" fontId="35" fillId="0" borderId="2" xfId="6" applyFont="1" applyBorder="1" applyAlignment="1">
      <alignment horizontal="center" vertical="center"/>
    </xf>
    <xf numFmtId="0" fontId="32" fillId="9" borderId="2" xfId="6" applyFont="1" applyFill="1" applyBorder="1" applyAlignment="1">
      <alignment horizontal="left" vertical="top" wrapText="1"/>
    </xf>
    <xf numFmtId="0" fontId="35" fillId="9" borderId="2" xfId="6" applyFont="1" applyFill="1" applyBorder="1" applyAlignment="1">
      <alignment horizontal="center" vertical="center"/>
    </xf>
    <xf numFmtId="0" fontId="35" fillId="9" borderId="2" xfId="6" applyFont="1" applyFill="1" applyBorder="1" applyAlignment="1">
      <alignment horizontal="left" vertical="top" wrapText="1"/>
    </xf>
    <xf numFmtId="0" fontId="35" fillId="5" borderId="2" xfId="6" applyFont="1" applyFill="1" applyBorder="1" applyAlignment="1">
      <alignment horizontal="left" vertical="top" wrapText="1"/>
    </xf>
    <xf numFmtId="0" fontId="35" fillId="0" borderId="2" xfId="6" applyFont="1" applyBorder="1" applyAlignment="1">
      <alignment horizontal="left" vertical="top" wrapText="1"/>
    </xf>
    <xf numFmtId="0" fontId="9" fillId="0" borderId="0" xfId="0" applyFont="1" applyAlignment="1">
      <alignment horizontal="left" vertical="top" wrapText="1"/>
    </xf>
    <xf numFmtId="0" fontId="27" fillId="5" borderId="0" xfId="0" applyFont="1" applyFill="1" applyAlignment="1">
      <alignment horizontal="left" vertical="top" wrapText="1"/>
    </xf>
    <xf numFmtId="0" fontId="0" fillId="0" borderId="0" xfId="0" applyAlignment="1">
      <alignment horizontal="right"/>
    </xf>
    <xf numFmtId="0" fontId="25" fillId="4" borderId="0" xfId="0" applyFont="1" applyFill="1" applyAlignment="1" applyProtection="1">
      <alignment horizontal="left" vertical="top" wrapText="1"/>
      <protection locked="0"/>
    </xf>
    <xf numFmtId="0" fontId="9" fillId="0" borderId="2" xfId="0" applyFont="1" applyBorder="1" applyAlignment="1" applyProtection="1">
      <alignment horizontal="left" vertical="top" wrapText="1"/>
      <protection locked="0"/>
    </xf>
    <xf numFmtId="0" fontId="39" fillId="4" borderId="0" xfId="0" applyFont="1" applyFill="1" applyAlignment="1" applyProtection="1">
      <alignment horizontal="left" vertical="top" wrapText="1"/>
      <protection locked="0"/>
    </xf>
    <xf numFmtId="0" fontId="0" fillId="7" borderId="0" xfId="0" applyFill="1" applyProtection="1">
      <protection locked="0"/>
    </xf>
    <xf numFmtId="0" fontId="0" fillId="0" borderId="0" xfId="0"/>
    <xf numFmtId="0" fontId="39" fillId="4" borderId="0" xfId="0" applyFont="1" applyFill="1" applyAlignment="1" applyProtection="1">
      <alignment vertical="top" wrapText="1"/>
      <protection locked="0"/>
    </xf>
    <xf numFmtId="0" fontId="0" fillId="0" borderId="0" xfId="0" applyAlignment="1">
      <alignment wrapText="1"/>
    </xf>
    <xf numFmtId="0" fontId="6" fillId="0" borderId="2" xfId="4" applyFont="1" applyBorder="1" applyAlignment="1">
      <alignment horizontal="left" vertical="top" wrapText="1"/>
    </xf>
    <xf numFmtId="0" fontId="20" fillId="0" borderId="2" xfId="4" applyBorder="1" applyAlignment="1">
      <alignment horizontal="left" vertical="top" wrapText="1"/>
    </xf>
    <xf numFmtId="0" fontId="0" fillId="0" borderId="6" xfId="0" applyBorder="1" applyAlignment="1">
      <alignment wrapText="1"/>
    </xf>
  </cellXfs>
  <cellStyles count="7">
    <cellStyle name="Bad" xfId="1" builtinId="27"/>
    <cellStyle name="Good" xfId="2" builtinId="26"/>
    <cellStyle name="Hyperlink" xfId="3" builtinId="8"/>
    <cellStyle name="Normal" xfId="0" builtinId="0"/>
    <cellStyle name="Normal 2" xfId="4" xr:uid="{00000000-0005-0000-0000-000005000000}"/>
    <cellStyle name="Normal 2 2" xfId="6" xr:uid="{9030F110-0EB0-48C1-BF78-9C28457EDCD0}"/>
    <cellStyle name="Normal 3" xfId="5" xr:uid="{00000000-0005-0000-0000-000031000000}"/>
  </cellStyles>
  <dxfs count="297">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7CE"/>
        </patternFill>
      </fill>
    </dxf>
    <dxf>
      <fill>
        <patternFill>
          <bgColor rgb="FFC6EFCE"/>
        </patternFill>
      </fill>
    </dxf>
    <dxf>
      <fill>
        <patternFill>
          <bgColor rgb="FFFFEB9C"/>
        </patternFill>
      </fill>
    </dxf>
    <dxf>
      <fill>
        <patternFill>
          <bgColor rgb="FFFF0000"/>
        </patternFill>
      </fill>
    </dxf>
    <dxf>
      <fill>
        <patternFill>
          <bgColor rgb="FFC6EFCE"/>
        </patternFill>
      </fill>
    </dxf>
    <dxf>
      <fill>
        <patternFill>
          <fgColor rgb="FFFFC7CE"/>
          <bgColor rgb="FFFFC7CE"/>
        </patternFill>
      </fill>
    </dxf>
    <dxf>
      <fill>
        <patternFill>
          <bgColor rgb="FFC6EFCE"/>
        </patternFill>
      </fill>
    </dxf>
    <dxf>
      <fill>
        <patternFill>
          <bgColor rgb="FFC6EFCE"/>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C6EFCE"/>
        </patternFill>
      </fill>
    </dxf>
    <dxf>
      <fill>
        <patternFill>
          <bgColor rgb="FFC6EFCE"/>
        </patternFill>
      </fill>
    </dxf>
    <dxf>
      <fill>
        <patternFill>
          <bgColor rgb="FFC6EFCE"/>
        </patternFill>
      </fill>
    </dxf>
    <dxf>
      <fill>
        <patternFill>
          <bgColor rgb="FFC6EF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C6EFCE"/>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EB9C"/>
        </patternFill>
      </fill>
    </dxf>
    <dxf>
      <fill>
        <patternFill>
          <bgColor rgb="FFC6EFCE"/>
        </patternFill>
      </fill>
    </dxf>
    <dxf>
      <fill>
        <patternFill>
          <bgColor rgb="FFFFC7CE"/>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C7CE"/>
        </patternFill>
      </fill>
    </dxf>
    <dxf>
      <fill>
        <patternFill>
          <bgColor rgb="FFC6EFCE"/>
        </patternFill>
      </fill>
    </dxf>
    <dxf>
      <fill>
        <patternFill>
          <bgColor rgb="FFFFEB9C"/>
        </patternFill>
      </fill>
    </dxf>
    <dxf>
      <fill>
        <patternFill>
          <fgColor rgb="FFAAFAA8"/>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C6EFCE"/>
        </patternFill>
      </fill>
    </dxf>
    <dxf>
      <fill>
        <patternFill>
          <bgColor rgb="FFFFEB9C"/>
        </patternFill>
      </fill>
    </dxf>
    <dxf>
      <fill>
        <patternFill>
          <bgColor rgb="FFFFC7CE"/>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C7CE"/>
        </patternFill>
      </fill>
    </dxf>
    <dxf>
      <fill>
        <patternFill>
          <bgColor rgb="FFFFEB9C"/>
        </patternFill>
      </fill>
    </dxf>
    <dxf>
      <fill>
        <patternFill>
          <bgColor rgb="FFC6EFCE"/>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C7CE"/>
        </patternFill>
      </fill>
    </dxf>
    <dxf>
      <fill>
        <patternFill>
          <bgColor rgb="FFFFEB9C"/>
        </patternFill>
      </fill>
    </dxf>
    <dxf>
      <fill>
        <patternFill>
          <bgColor rgb="FFC6EFCE"/>
        </patternFill>
      </fill>
    </dxf>
    <dxf>
      <fill>
        <patternFill>
          <bgColor rgb="FFC6EF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fgColor rgb="FFFFC7CE"/>
          <bgColor rgb="FFFFC7CE"/>
        </patternFill>
      </fill>
    </dxf>
    <dxf>
      <fill>
        <patternFill>
          <bgColor rgb="FFFFEB9C"/>
        </patternFill>
      </fill>
    </dxf>
    <dxf>
      <fill>
        <patternFill>
          <bgColor rgb="FFC6EFCE"/>
        </patternFill>
      </fill>
    </dxf>
    <dxf>
      <fill>
        <patternFill>
          <bgColor rgb="FFC6EFCE"/>
        </patternFill>
      </fill>
    </dxf>
    <dxf>
      <fill>
        <patternFill>
          <bgColor rgb="FFC6EFCE"/>
        </patternFill>
      </fill>
    </dxf>
    <dxf>
      <fill>
        <patternFill>
          <bgColor rgb="FFFFEB9C"/>
        </patternFill>
      </fill>
    </dxf>
    <dxf>
      <fill>
        <patternFill>
          <fgColor rgb="FFFFC7CE"/>
          <bgColor rgb="FFFFC7CE"/>
        </patternFill>
      </fill>
    </dxf>
    <dxf>
      <fill>
        <patternFill>
          <bgColor rgb="FFC6EFCE"/>
        </patternFill>
      </fill>
    </dxf>
    <dxf>
      <fill>
        <patternFill>
          <bgColor rgb="FFC6EFCE"/>
        </patternFill>
      </fill>
    </dxf>
    <dxf>
      <fill>
        <patternFill>
          <bgColor rgb="FFFFC7CE"/>
        </patternFill>
      </fill>
    </dxf>
    <dxf>
      <fill>
        <patternFill>
          <bgColor rgb="FFC6EFCE"/>
        </patternFill>
      </fill>
    </dxf>
    <dxf>
      <fill>
        <patternFill>
          <bgColor rgb="FFFFEB9C"/>
        </patternFill>
      </fill>
    </dxf>
    <dxf>
      <fill>
        <patternFill>
          <bgColor rgb="FFC6EFCE"/>
        </patternFill>
      </fill>
    </dxf>
    <dxf>
      <fill>
        <patternFill>
          <bgColor rgb="FFFFEB9C"/>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C7CE"/>
        </patternFill>
      </fill>
    </dxf>
    <dxf>
      <fill>
        <patternFill>
          <bgColor rgb="FFFFEB9C"/>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EB9C"/>
        </patternFill>
      </fill>
    </dxf>
    <dxf>
      <fill>
        <patternFill>
          <bgColor rgb="FFC6EFCE"/>
        </patternFill>
      </fill>
    </dxf>
    <dxf>
      <fill>
        <patternFill>
          <bgColor rgb="FFFFC7CE"/>
        </patternFill>
      </fill>
    </dxf>
    <dxf>
      <fill>
        <patternFill>
          <bgColor rgb="FFC6EFCE"/>
        </patternFill>
      </fill>
    </dxf>
    <dxf>
      <fill>
        <patternFill>
          <bgColor rgb="FFC6EFCE"/>
        </patternFill>
      </fill>
    </dxf>
    <dxf>
      <fill>
        <patternFill>
          <bgColor rgb="FFFFEB9C"/>
        </patternFill>
      </fill>
    </dxf>
    <dxf>
      <fill>
        <patternFill>
          <bgColor rgb="FFC6EFCE"/>
        </patternFill>
      </fill>
    </dxf>
    <dxf>
      <fill>
        <patternFill>
          <bgColor rgb="FFFFC7CE"/>
        </patternFill>
      </fill>
    </dxf>
    <dxf>
      <fill>
        <patternFill>
          <bgColor theme="4" tint="0.39994506668294322"/>
        </patternFill>
      </fill>
    </dxf>
    <dxf>
      <fill>
        <patternFill>
          <bgColor theme="4" tint="0.39994506668294322"/>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theme="4" tint="0.39994506668294322"/>
        </patternFill>
      </fill>
    </dxf>
    <dxf>
      <fill>
        <patternFill>
          <bgColor theme="4" tint="0.39994506668294322"/>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EB9C"/>
        </patternFill>
      </fill>
    </dxf>
    <dxf>
      <fill>
        <patternFill>
          <bgColor rgb="FFC6EFCE"/>
        </patternFill>
      </fill>
    </dxf>
    <dxf>
      <fill>
        <patternFill>
          <bgColor rgb="FFFFEB9C"/>
        </patternFill>
      </fill>
    </dxf>
    <dxf>
      <fill>
        <patternFill>
          <bgColor rgb="FFFFC7CE"/>
        </patternFill>
      </fill>
    </dxf>
    <dxf>
      <fill>
        <patternFill>
          <bgColor theme="4" tint="0.39994506668294322"/>
        </patternFill>
      </fill>
    </dxf>
    <dxf>
      <fill>
        <patternFill>
          <bgColor theme="4" tint="0.39994506668294322"/>
        </patternFill>
      </fill>
    </dxf>
    <dxf>
      <fill>
        <patternFill>
          <bgColor rgb="FFC6EFCE"/>
        </patternFill>
      </fill>
    </dxf>
    <dxf>
      <fill>
        <patternFill>
          <bgColor rgb="FFFFC7CE"/>
        </patternFill>
      </fill>
    </dxf>
    <dxf>
      <fill>
        <patternFill>
          <bgColor rgb="FFFFEB9C"/>
        </patternFill>
      </fill>
    </dxf>
    <dxf>
      <fill>
        <patternFill>
          <bgColor theme="4" tint="0.39994506668294322"/>
        </patternFill>
      </fill>
    </dxf>
    <dxf>
      <fill>
        <patternFill>
          <bgColor theme="4" tint="0.39994506668294322"/>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00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s>
  <tableStyles count="0" defaultTableStyle="TableStyleMedium2" defaultPivotStyle="PivotStyleLight16"/>
  <colors>
    <mruColors>
      <color rgb="FFFFC7CE"/>
      <color rgb="FFC6EFCE"/>
      <color rgb="FFDBDBDB"/>
      <color rgb="FFDCE6F1"/>
      <color rgb="FF3333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xplore.skillbuilder.aws/learn/course/internal/view/elearning/14214/ftr-readiness-series-ftr-101-introduction-to-the-foundational-technical-review" TargetMode="External"/><Relationship Id="rId2" Type="http://schemas.openxmlformats.org/officeDocument/2006/relationships/hyperlink" Target="https://explore.skillbuilder.aws/learn/course/internal/view/elearning/14291/ftr-readiness-series-ftr-201-partner-hosted-saas-on-aws" TargetMode="External"/><Relationship Id="rId1" Type="http://schemas.openxmlformats.org/officeDocument/2006/relationships/hyperlink" Target="https://partnercentral.awspartner.com/partnercentral2/s/resources?Id=0690h00000BGRJhAAP" TargetMode="External"/><Relationship Id="rId5" Type="http://schemas.openxmlformats.org/officeDocument/2006/relationships/printerSettings" Target="../printerSettings/printerSettings1.bin"/><Relationship Id="rId4" Type="http://schemas.openxmlformats.org/officeDocument/2006/relationships/hyperlink" Target="https://partnercentral.awspartner.com/partnercentral2/s/resources?Id=0698W00000rBmKrQA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0"/>
  <sheetViews>
    <sheetView tabSelected="1" zoomScale="120" zoomScaleNormal="120" workbookViewId="0">
      <selection activeCell="A11" sqref="A11"/>
    </sheetView>
  </sheetViews>
  <sheetFormatPr baseColWidth="10" defaultColWidth="10.6640625" defaultRowHeight="16" x14ac:dyDescent="0.2"/>
  <cols>
    <col min="1" max="1" width="160.6640625" customWidth="1"/>
    <col min="2" max="2" width="24.83203125" customWidth="1"/>
  </cols>
  <sheetData>
    <row r="1" spans="1:2" ht="226" customHeight="1" x14ac:dyDescent="0.2">
      <c r="A1" s="175" t="s">
        <v>671</v>
      </c>
      <c r="B1" s="1"/>
    </row>
    <row r="2" spans="1:2" x14ac:dyDescent="0.2">
      <c r="A2" s="141" t="s">
        <v>73</v>
      </c>
    </row>
    <row r="3" spans="1:2" x14ac:dyDescent="0.2">
      <c r="A3" s="140" t="s">
        <v>365</v>
      </c>
    </row>
    <row r="4" spans="1:2" x14ac:dyDescent="0.2">
      <c r="A4" s="139" t="s">
        <v>366</v>
      </c>
      <c r="B4" s="1"/>
    </row>
    <row r="5" spans="1:2" x14ac:dyDescent="0.2">
      <c r="A5" s="139" t="s">
        <v>367</v>
      </c>
    </row>
    <row r="6" spans="1:2" x14ac:dyDescent="0.2">
      <c r="A6" s="146" t="s">
        <v>381</v>
      </c>
    </row>
    <row r="8" spans="1:2" ht="170" x14ac:dyDescent="0.2">
      <c r="A8" s="138" t="s">
        <v>644</v>
      </c>
    </row>
    <row r="10" spans="1:2" x14ac:dyDescent="0.2">
      <c r="A10" s="177" t="s">
        <v>667</v>
      </c>
      <c r="B10">
        <v>2026.1</v>
      </c>
    </row>
  </sheetData>
  <hyperlinks>
    <hyperlink ref="A3" r:id="rId1" xr:uid="{ADF42853-3C80-4048-9C95-8B80451E09F9}"/>
    <hyperlink ref="A5" r:id="rId2" xr:uid="{6063F095-C56F-4B6E-AC42-1A1CD867DB52}"/>
    <hyperlink ref="A4" r:id="rId3" xr:uid="{58C8C258-FE19-44F9-B30B-4692EEB678DC}"/>
    <hyperlink ref="A6" r:id="rId4" xr:uid="{7CA8DD0C-6CD0-44EC-B12C-422D49CCA6EB}"/>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92D050"/>
  </sheetPr>
  <dimension ref="A1:R166"/>
  <sheetViews>
    <sheetView zoomScaleNormal="100" workbookViewId="0">
      <pane ySplit="5" topLeftCell="A6" activePane="bottomLeft" state="frozen"/>
      <selection activeCell="A47" sqref="A47"/>
      <selection pane="bottomLeft" activeCell="C8" sqref="C8"/>
    </sheetView>
  </sheetViews>
  <sheetFormatPr baseColWidth="10" defaultColWidth="51" defaultRowHeight="155" customHeight="1" x14ac:dyDescent="0.25"/>
  <cols>
    <col min="1" max="1" width="36.6640625" style="28" customWidth="1"/>
    <col min="2" max="2" width="57.83203125" style="28" customWidth="1"/>
    <col min="3" max="3" width="27.6640625" style="27" bestFit="1" customWidth="1"/>
    <col min="4" max="4" width="15.5" style="69" hidden="1" customWidth="1"/>
    <col min="5" max="5" width="54.6640625" style="58" customWidth="1"/>
    <col min="6" max="16384" width="51" style="28"/>
  </cols>
  <sheetData>
    <row r="1" spans="1:8" ht="120" customHeight="1" x14ac:dyDescent="0.2">
      <c r="A1" s="179" t="s">
        <v>393</v>
      </c>
      <c r="B1" s="179"/>
      <c r="C1" s="179"/>
      <c r="D1" s="179"/>
      <c r="E1" s="179"/>
    </row>
    <row r="2" spans="1:8" customFormat="1" ht="20" customHeight="1" x14ac:dyDescent="0.25">
      <c r="A2" s="88" t="s">
        <v>83</v>
      </c>
      <c r="B2" s="130">
        <f>B4/E4</f>
        <v>0</v>
      </c>
      <c r="C2" s="132"/>
      <c r="D2" s="123"/>
      <c r="E2" s="131"/>
      <c r="F2" s="119"/>
    </row>
    <row r="3" spans="1:8" ht="106" hidden="1" customHeight="1" x14ac:dyDescent="0.2">
      <c r="A3" s="30" t="s">
        <v>140</v>
      </c>
      <c r="B3" s="124"/>
      <c r="C3" s="125" t="s">
        <v>139</v>
      </c>
      <c r="D3" s="126"/>
      <c r="E3" s="127"/>
    </row>
    <row r="4" spans="1:8" customFormat="1" ht="21" customHeight="1" thickBot="1" x14ac:dyDescent="0.3">
      <c r="A4" s="89" t="s">
        <v>272</v>
      </c>
      <c r="B4" s="128">
        <f>COUNTIF(D:D,"Pass")</f>
        <v>0</v>
      </c>
      <c r="C4" s="163" t="s">
        <v>273</v>
      </c>
      <c r="D4" s="89"/>
      <c r="E4" s="129">
        <f>COUNTIF(D:D, "Fail")</f>
        <v>44</v>
      </c>
      <c r="F4" s="28"/>
    </row>
    <row r="5" spans="1:8" ht="40" customHeight="1" thickTop="1" thickBot="1" x14ac:dyDescent="0.3">
      <c r="A5" s="31" t="s">
        <v>0</v>
      </c>
      <c r="B5" s="32" t="s">
        <v>1</v>
      </c>
      <c r="C5" s="164" t="s">
        <v>12</v>
      </c>
      <c r="D5" s="33" t="s">
        <v>13</v>
      </c>
      <c r="E5" s="32" t="s">
        <v>398</v>
      </c>
      <c r="F5" s="148" t="s">
        <v>670</v>
      </c>
      <c r="G5" s="51"/>
    </row>
    <row r="6" spans="1:8" ht="18" customHeight="1" thickTop="1" thickBot="1" x14ac:dyDescent="0.3">
      <c r="A6" s="148"/>
      <c r="B6" s="149"/>
      <c r="C6" s="33"/>
      <c r="D6" s="149"/>
      <c r="E6" s="149"/>
      <c r="F6" s="150"/>
    </row>
    <row r="7" spans="1:8" ht="77" customHeight="1" thickTop="1" thickBot="1" x14ac:dyDescent="0.3">
      <c r="A7" s="154" t="s">
        <v>395</v>
      </c>
      <c r="B7" s="59" t="s">
        <v>396</v>
      </c>
      <c r="C7" s="26" t="s">
        <v>286</v>
      </c>
      <c r="D7" s="149"/>
      <c r="E7" s="122" t="str">
        <f>IF(C7="No",'Supporting Information Required'!C2,IF(C7="Yes",'Supporting Information Required'!D2,IF(C7="NA","Ok","")))</f>
        <v/>
      </c>
      <c r="F7" s="153"/>
    </row>
    <row r="8" spans="1:8" ht="209.5" customHeight="1" thickTop="1" thickBot="1" x14ac:dyDescent="0.3">
      <c r="A8" s="154" t="s">
        <v>395</v>
      </c>
      <c r="B8" s="59" t="s">
        <v>645</v>
      </c>
      <c r="C8" s="26" t="s">
        <v>286</v>
      </c>
      <c r="D8" s="149"/>
      <c r="E8" s="122" t="str">
        <f>IF(C8="CIS v5.0",'Supporting Information Required'!C3,IF(C8="CIS v3.0",'Supporting Information Required'!D3,IF(C7="NA","Ok","")))</f>
        <v/>
      </c>
      <c r="F8" s="153"/>
    </row>
    <row r="9" spans="1:8" ht="102" thickTop="1" thickBot="1" x14ac:dyDescent="0.3">
      <c r="A9" s="154" t="s">
        <v>652</v>
      </c>
      <c r="B9" s="59" t="s">
        <v>651</v>
      </c>
      <c r="C9" s="26" t="s">
        <v>286</v>
      </c>
      <c r="D9" s="149"/>
      <c r="E9" s="122" t="str">
        <f>IF(C9="No",'Supporting Information Required'!C4,IF(C9="Yes",'Supporting Information Required'!D4,IF(C9="NA","Ok","")))</f>
        <v/>
      </c>
      <c r="F9" s="153"/>
    </row>
    <row r="10" spans="1:8" ht="31" customHeight="1" thickTop="1" thickBot="1" x14ac:dyDescent="0.3">
      <c r="A10" s="153"/>
      <c r="B10" s="153"/>
      <c r="C10" s="153"/>
      <c r="D10" s="149"/>
      <c r="E10" s="153"/>
      <c r="F10" s="153"/>
    </row>
    <row r="11" spans="1:8" ht="27" customHeight="1" thickTop="1" x14ac:dyDescent="0.2">
      <c r="A11" s="34" t="s">
        <v>2</v>
      </c>
      <c r="B11" s="34"/>
      <c r="C11" s="35"/>
      <c r="D11" s="65"/>
      <c r="E11" s="34"/>
      <c r="F11" s="34"/>
      <c r="G11" s="165"/>
    </row>
    <row r="12" spans="1:8" ht="20" thickBot="1" x14ac:dyDescent="0.25">
      <c r="A12" s="36"/>
      <c r="B12" s="37"/>
      <c r="C12" s="38"/>
      <c r="D12" s="66"/>
      <c r="E12" s="44"/>
      <c r="G12" s="165"/>
    </row>
    <row r="13" spans="1:8" ht="367" thickTop="1" thickBot="1" x14ac:dyDescent="0.25">
      <c r="A13" s="158" t="s">
        <v>3</v>
      </c>
      <c r="B13" s="39" t="s">
        <v>666</v>
      </c>
      <c r="C13" s="25" t="str">
        <f>IF(OR(C14="&lt;select&gt;",C15="&lt;select&gt;",  C16="&lt;select&gt;"), "", IF(D13="Fail", "No", IF(D13="Pass", "Yes")))</f>
        <v/>
      </c>
      <c r="D13" s="90" t="str">
        <f>IF(OR( AND(C14="Yes", C15="Yes", C16="Yes")), "Pass","Fail")</f>
        <v>Fail</v>
      </c>
      <c r="E13" s="153"/>
      <c r="F13" s="153"/>
      <c r="G13" s="58"/>
      <c r="H13" s="165"/>
    </row>
    <row r="14" spans="1:8" ht="111.5" customHeight="1" thickTop="1" thickBot="1" x14ac:dyDescent="0.25">
      <c r="A14" s="154" t="s">
        <v>66</v>
      </c>
      <c r="B14" s="59" t="s">
        <v>631</v>
      </c>
      <c r="C14" s="26" t="s">
        <v>286</v>
      </c>
      <c r="D14" s="91" t="str">
        <f>IF(C14="No",'Supporting Information Required'!C7,IF(C14="Yes",'Supporting Information Required'!D7, ""))</f>
        <v/>
      </c>
      <c r="E14" s="79" t="str">
        <f>IF(C14="No",'Supporting Information Required'!C7,IF(C14="Yes",'Supporting Information Required'!D7,IF(C14="NA","Ok","")))</f>
        <v/>
      </c>
      <c r="F14" s="153"/>
    </row>
    <row r="15" spans="1:8" ht="96.5" customHeight="1" thickTop="1" thickBot="1" x14ac:dyDescent="0.25">
      <c r="A15" s="154" t="s">
        <v>628</v>
      </c>
      <c r="B15" s="59" t="s">
        <v>650</v>
      </c>
      <c r="C15" s="26" t="s">
        <v>286</v>
      </c>
      <c r="D15" s="91"/>
      <c r="E15" s="79" t="str">
        <f>IF(C15="No",'Supporting Information Required'!D8,IF(C15="Yes",'Supporting Information Required'!C8,IF(C15="Not-Applicable",'Supporting Information Required'!E8,"")))</f>
        <v/>
      </c>
      <c r="F15" s="153"/>
    </row>
    <row r="16" spans="1:8" ht="126" customHeight="1" thickTop="1" thickBot="1" x14ac:dyDescent="0.25">
      <c r="A16" s="154" t="s">
        <v>629</v>
      </c>
      <c r="B16" s="59" t="s">
        <v>649</v>
      </c>
      <c r="C16" s="26" t="s">
        <v>286</v>
      </c>
      <c r="D16" s="91" t="str">
        <f>IF(C16="No",'Supporting Information Required'!C12,IF(C16="Yes",'Supporting Information Required'!D12, ""))</f>
        <v/>
      </c>
      <c r="E16" s="79" t="str">
        <f>IF(C16="No",'Supporting Information Required'!C9,IF(C16="Yes",'Supporting Information Required'!D9,IF(C16="Not-Applicable",'Supporting Information Required'!E9,"")))</f>
        <v/>
      </c>
      <c r="F16" s="153"/>
    </row>
    <row r="17" spans="1:6" ht="20" thickTop="1" x14ac:dyDescent="0.2">
      <c r="A17" s="36"/>
      <c r="B17" s="37"/>
      <c r="C17" s="115"/>
      <c r="D17" s="66"/>
      <c r="E17" s="45"/>
    </row>
    <row r="18" spans="1:6" ht="28" customHeight="1" x14ac:dyDescent="0.2">
      <c r="A18" s="42" t="s">
        <v>4</v>
      </c>
      <c r="B18" s="43"/>
      <c r="C18" s="35"/>
      <c r="D18" s="65"/>
      <c r="E18" s="34"/>
      <c r="F18" s="34"/>
    </row>
    <row r="19" spans="1:6" ht="20" thickBot="1" x14ac:dyDescent="0.25">
      <c r="A19" s="36"/>
      <c r="B19" s="37"/>
      <c r="C19" s="38"/>
      <c r="D19" s="66"/>
      <c r="E19" s="44"/>
      <c r="F19" s="44"/>
    </row>
    <row r="20" spans="1:6" ht="285" customHeight="1" thickTop="1" thickBot="1" x14ac:dyDescent="0.25">
      <c r="A20" s="158" t="s">
        <v>5</v>
      </c>
      <c r="B20" s="39" t="s">
        <v>294</v>
      </c>
      <c r="C20" s="25" t="str">
        <f>IF(C21="&lt;select&gt;", "", IF(D20="Pass", "Yes", IF( D20="Fail", "No")))</f>
        <v/>
      </c>
      <c r="D20" s="92" t="str">
        <f>IF(OR(C21="Yes",AND(E20&lt;&gt;"",C21="NO")), "Pass","Fail")</f>
        <v>Fail</v>
      </c>
      <c r="E20" s="153"/>
      <c r="F20" s="153"/>
    </row>
    <row r="21" spans="1:6" ht="148" customHeight="1" thickTop="1" thickBot="1" x14ac:dyDescent="0.25">
      <c r="A21" s="154" t="s">
        <v>68</v>
      </c>
      <c r="B21" s="59" t="s">
        <v>69</v>
      </c>
      <c r="C21" s="26" t="s">
        <v>286</v>
      </c>
      <c r="D21" s="93" t="str">
        <f>IF(C21="No",'Supporting Information Required'!C12,IF(C21="Yes",'Supporting Information Required'!D12,IF(C21="NA",'Supporting Information Required'!E12,"")))</f>
        <v/>
      </c>
      <c r="E21" s="79" t="str">
        <f>IF(C21="No",'Supporting Information Required'!C12,IF(C21="Yes",'Supporting Information Required'!D12,IF(C21="NA",'Supporting Information Required'!E12,"")))</f>
        <v/>
      </c>
      <c r="F21" s="153"/>
    </row>
    <row r="22" spans="1:6" ht="20" thickTop="1" x14ac:dyDescent="0.2">
      <c r="A22" s="36"/>
      <c r="B22" s="37"/>
      <c r="C22" s="38"/>
      <c r="D22" s="66"/>
      <c r="E22" s="45"/>
      <c r="F22" s="45"/>
    </row>
    <row r="23" spans="1:6" ht="28" customHeight="1" x14ac:dyDescent="0.2">
      <c r="A23" s="34" t="s">
        <v>6</v>
      </c>
      <c r="B23" s="34"/>
      <c r="C23" s="35"/>
      <c r="D23" s="65"/>
      <c r="E23" s="46"/>
      <c r="F23" s="46"/>
    </row>
    <row r="24" spans="1:6" ht="20" thickBot="1" x14ac:dyDescent="0.25">
      <c r="A24" s="36"/>
      <c r="B24" s="37"/>
      <c r="C24" s="38"/>
      <c r="D24" s="66"/>
      <c r="E24" s="38"/>
      <c r="F24" s="38"/>
    </row>
    <row r="25" spans="1:6" ht="155" customHeight="1" thickTop="1" thickBot="1" x14ac:dyDescent="0.25">
      <c r="A25" s="157" t="s">
        <v>7</v>
      </c>
      <c r="B25" s="39" t="s">
        <v>297</v>
      </c>
      <c r="C25" s="25" t="str">
        <f>IF(C26="&lt;select&gt;", "", IF(D25="Pass", "Yes", IF( D25="Fail", "No")))</f>
        <v/>
      </c>
      <c r="D25" s="92" t="str">
        <f>IF(AND(C26="Yes",C27="Yes"), "Pass","Fail")</f>
        <v>Fail</v>
      </c>
      <c r="E25" s="147"/>
      <c r="F25" s="147"/>
    </row>
    <row r="26" spans="1:6" ht="61" customHeight="1" thickTop="1" thickBot="1" x14ac:dyDescent="0.25">
      <c r="A26" s="40" t="s">
        <v>70</v>
      </c>
      <c r="B26" s="41" t="s">
        <v>296</v>
      </c>
      <c r="C26" s="26" t="s">
        <v>286</v>
      </c>
      <c r="D26" s="94" t="str">
        <f>IF(C26="No",'Supporting Information Required'!C16,IF(C26="Yes",'Supporting Information Required'!D16,IF(C26="NA",'Supporting Information Required'!E16,"")))</f>
        <v/>
      </c>
      <c r="E26" s="79" t="str">
        <f>IF(C26="No",'Supporting Information Required'!C16,IF(C26="Yes",'Supporting Information Required'!D16,IF(C26="NA",'Supporting Information Required'!E16,"")))</f>
        <v/>
      </c>
      <c r="F26" s="147"/>
    </row>
    <row r="27" spans="1:6" ht="61" customHeight="1" thickTop="1" thickBot="1" x14ac:dyDescent="0.25">
      <c r="A27" s="40" t="s">
        <v>295</v>
      </c>
      <c r="B27" s="106" t="s">
        <v>348</v>
      </c>
      <c r="C27" s="26" t="s">
        <v>286</v>
      </c>
      <c r="D27" s="107"/>
      <c r="E27" s="79" t="str">
        <f>IF(C27="No",'Supporting Information Required'!C17,IF(C27="Yes",'Supporting Information Required'!D17,IF(C27="NA",'Supporting Information Required'!E17,"")))</f>
        <v/>
      </c>
      <c r="F27" s="147"/>
    </row>
    <row r="28" spans="1:6" customFormat="1" ht="200" customHeight="1" thickTop="1" thickBot="1" x14ac:dyDescent="0.25">
      <c r="A28" s="157" t="s">
        <v>198</v>
      </c>
      <c r="B28" s="145" t="s">
        <v>382</v>
      </c>
      <c r="C28" s="25" t="str">
        <f>IF(C29="&lt;select&gt;", "",C29)</f>
        <v/>
      </c>
      <c r="D28" s="92" t="str">
        <f>IF(C29="Yes","Pass","Fail")</f>
        <v>Fail</v>
      </c>
      <c r="E28" s="147"/>
      <c r="F28" s="147"/>
    </row>
    <row r="29" spans="1:6" ht="61" customHeight="1" thickTop="1" thickBot="1" x14ac:dyDescent="0.25">
      <c r="A29" s="40" t="s">
        <v>256</v>
      </c>
      <c r="B29" s="41" t="s">
        <v>265</v>
      </c>
      <c r="C29" s="26" t="s">
        <v>286</v>
      </c>
      <c r="D29" s="95" t="str">
        <f>IF(C29="No",'Supporting Information Required'!C19,IF(C29="Yes",'Supporting Information Required'!D19,IF(C29="NA",'Supporting Information Required'!E19,"")))</f>
        <v/>
      </c>
      <c r="E29" s="79" t="str">
        <f>IF(C29="No",'Supporting Information Required'!C19,IF(C29="Yes",'Supporting Information Required'!D19,IF(C29="NA",'Supporting Information Required'!E19,"")))</f>
        <v/>
      </c>
      <c r="F29" s="147"/>
    </row>
    <row r="30" spans="1:6" ht="20" thickTop="1" x14ac:dyDescent="0.2">
      <c r="A30" s="36"/>
      <c r="B30" s="37"/>
      <c r="C30" s="38"/>
      <c r="D30" s="66"/>
      <c r="E30" s="29"/>
      <c r="F30" s="29"/>
    </row>
    <row r="31" spans="1:6" ht="24" x14ac:dyDescent="0.25">
      <c r="A31" s="178" t="s">
        <v>173</v>
      </c>
      <c r="B31" s="178"/>
      <c r="C31" s="178"/>
      <c r="D31" s="67"/>
      <c r="E31" s="181"/>
      <c r="F31" s="182"/>
    </row>
    <row r="32" spans="1:6" ht="42" customHeight="1" x14ac:dyDescent="0.2">
      <c r="A32" s="183" t="s">
        <v>8</v>
      </c>
      <c r="B32" s="184"/>
      <c r="C32" s="184"/>
      <c r="D32" s="184"/>
      <c r="E32" s="184"/>
      <c r="F32" s="182"/>
    </row>
    <row r="33" spans="1:10" ht="20" thickBot="1" x14ac:dyDescent="0.25">
      <c r="A33" s="36"/>
      <c r="B33" s="37"/>
      <c r="C33" s="38"/>
      <c r="D33" s="66"/>
      <c r="E33" s="44"/>
      <c r="F33" s="44"/>
    </row>
    <row r="34" spans="1:10" ht="227.5" customHeight="1" thickTop="1" thickBot="1" x14ac:dyDescent="0.25">
      <c r="A34" s="157" t="s">
        <v>9</v>
      </c>
      <c r="B34" s="39" t="s">
        <v>298</v>
      </c>
      <c r="C34" s="25" t="str">
        <f>IF(C35="&lt;select&gt;", "", IF(D34="Pass", "Yes", IF( D34="Fail", "No")))</f>
        <v/>
      </c>
      <c r="D34" s="92" t="str">
        <f>IF(AND(OR(C35="Yes",C35="NA", C35="NO"),OR(E34&lt;&gt;"",E35="Okay. You can optionally add notes or comments in the 'Partner Response' cell in white above.")), "Pass","Fail")</f>
        <v>Fail</v>
      </c>
      <c r="E34" s="152"/>
      <c r="F34" s="147"/>
    </row>
    <row r="35" spans="1:10" s="48" customFormat="1" ht="99" customHeight="1" thickTop="1" thickBot="1" x14ac:dyDescent="0.3">
      <c r="A35" s="40" t="s">
        <v>71</v>
      </c>
      <c r="B35" s="41" t="s">
        <v>349</v>
      </c>
      <c r="C35" s="26" t="s">
        <v>286</v>
      </c>
      <c r="D35" s="96" t="str">
        <f>IF(C35="No",'Supporting Information Required'!C22,IF(C35="Yes",'Supporting Information Required'!D22, ""))</f>
        <v/>
      </c>
      <c r="E35" s="79" t="str">
        <f>IF(C35="No",'Supporting Information Required'!C22,IF(C35="Yes",'Supporting Information Required'!D22,IF(C35="NA","Ok","")))</f>
        <v/>
      </c>
      <c r="F35" s="147"/>
    </row>
    <row r="36" spans="1:10" ht="155" customHeight="1" thickTop="1" thickBot="1" x14ac:dyDescent="0.25">
      <c r="A36" s="157" t="s">
        <v>661</v>
      </c>
      <c r="B36" s="137" t="s">
        <v>672</v>
      </c>
      <c r="C36" s="25" t="str">
        <f>IF(C37="&lt;select&gt;", "", IF(C37="Yes", "No", IF( C37="No", "Yes")))</f>
        <v/>
      </c>
      <c r="D36" s="97" t="str">
        <f>IF(C37="No", "Pass", "Fail")</f>
        <v>Fail</v>
      </c>
      <c r="E36" s="152"/>
      <c r="F36" s="147"/>
    </row>
    <row r="37" spans="1:10" ht="74" customHeight="1" thickTop="1" thickBot="1" x14ac:dyDescent="0.25">
      <c r="A37" s="40" t="s">
        <v>662</v>
      </c>
      <c r="B37" s="59" t="s">
        <v>287</v>
      </c>
      <c r="C37" s="26" t="s">
        <v>286</v>
      </c>
      <c r="D37" s="98" t="b">
        <f>IF(C37="No",'Supporting Information Required'!C24,IF(C37="Yes",'Supporting Information Required'!D24))</f>
        <v>0</v>
      </c>
      <c r="E37" s="79" t="str">
        <f>IF(C37="No",'Supporting Information Required'!C24,IF(C37="Yes",'Supporting Information Required'!D24,IF(C37="NA","Ok","")))</f>
        <v/>
      </c>
      <c r="F37" s="147"/>
    </row>
    <row r="38" spans="1:10" ht="196.5" customHeight="1" thickTop="1" thickBot="1" x14ac:dyDescent="0.25">
      <c r="A38" s="157" t="s">
        <v>11</v>
      </c>
      <c r="B38" s="133" t="s">
        <v>351</v>
      </c>
      <c r="C38" s="25" t="str">
        <f>IF(C39="&lt;select&gt;", "",C39)</f>
        <v/>
      </c>
      <c r="D38" s="99" t="str">
        <f>IF(C39="Yes", "Pass","Fail")</f>
        <v>Fail</v>
      </c>
      <c r="E38" s="51"/>
      <c r="F38" s="147"/>
    </row>
    <row r="39" spans="1:10" s="49" customFormat="1" ht="65.5" customHeight="1" thickTop="1" thickBot="1" x14ac:dyDescent="0.25">
      <c r="A39" s="40" t="s">
        <v>663</v>
      </c>
      <c r="B39" s="59" t="s">
        <v>352</v>
      </c>
      <c r="C39" s="26" t="s">
        <v>286</v>
      </c>
      <c r="D39" s="100" t="str">
        <f>IF(C39="No",'Supporting Information Required'!C26,IF(C39="Yes",'Supporting Information Required'!D26, ""))</f>
        <v/>
      </c>
      <c r="E39" s="79" t="str">
        <f>IF(C39="No",'Supporting Information Required'!C26,IF(C39="Yes",'Supporting Information Required'!D26,IF(C39="NA","Ok","")))</f>
        <v/>
      </c>
      <c r="F39" s="147"/>
    </row>
    <row r="40" spans="1:10" ht="20" thickTop="1" x14ac:dyDescent="0.2">
      <c r="A40" s="36"/>
      <c r="B40" s="37"/>
      <c r="C40" s="38"/>
      <c r="D40" s="66"/>
      <c r="E40" s="45"/>
    </row>
    <row r="41" spans="1:10" ht="24" customHeight="1" x14ac:dyDescent="0.2">
      <c r="A41" s="34" t="s">
        <v>14</v>
      </c>
      <c r="B41" s="34"/>
      <c r="C41" s="35"/>
      <c r="D41" s="65"/>
      <c r="E41" s="34"/>
      <c r="F41" s="34"/>
    </row>
    <row r="42" spans="1:10" ht="20" thickBot="1" x14ac:dyDescent="0.25">
      <c r="A42" s="36"/>
      <c r="B42" s="37"/>
      <c r="C42" s="38"/>
      <c r="D42" s="66"/>
      <c r="E42" s="44"/>
      <c r="F42" s="44"/>
    </row>
    <row r="43" spans="1:10" ht="274" thickTop="1" thickBot="1" x14ac:dyDescent="0.25">
      <c r="A43" s="157" t="s">
        <v>15</v>
      </c>
      <c r="B43" s="39" t="s">
        <v>673</v>
      </c>
      <c r="C43" s="25" t="str">
        <f>IF(C44="&lt;select&gt;", "",C44)</f>
        <v/>
      </c>
      <c r="D43" s="101" t="str">
        <f>IF(OR(C44="Yes", C44="Na"),"Pass","Fail")</f>
        <v>Fail</v>
      </c>
      <c r="E43" s="152"/>
      <c r="F43" s="152"/>
    </row>
    <row r="44" spans="1:10" s="49" customFormat="1" ht="65.5" customHeight="1" thickTop="1" thickBot="1" x14ac:dyDescent="0.25">
      <c r="A44" s="40" t="s">
        <v>74</v>
      </c>
      <c r="B44" s="59" t="s">
        <v>266</v>
      </c>
      <c r="C44" s="26" t="s">
        <v>286</v>
      </c>
      <c r="D44" s="102" t="str">
        <f>IF(C44="No",'Supporting Information Required'!C31,IF(C44="Yes",'Supporting Information Required'!D31, ""))</f>
        <v/>
      </c>
      <c r="E44" s="79" t="str">
        <f>IF(C44="No",'Supporting Information Required'!C31,IF(C44="Yes",'Supporting Information Required'!D31,IF(C44="NA","Ok","")))</f>
        <v/>
      </c>
      <c r="F44" s="152"/>
      <c r="G44" s="28"/>
      <c r="H44" s="28"/>
      <c r="I44" s="28"/>
      <c r="J44" s="28"/>
    </row>
    <row r="45" spans="1:10" ht="114" thickTop="1" thickBot="1" x14ac:dyDescent="0.25">
      <c r="A45" s="157" t="s">
        <v>16</v>
      </c>
      <c r="B45" s="39" t="s">
        <v>17</v>
      </c>
      <c r="C45" s="25" t="str">
        <f>IF(C46="&lt;select&gt;", "",C46)</f>
        <v/>
      </c>
      <c r="D45" s="103" t="str">
        <f>IF(OR(C46="Yes", C46="Na"), "Pass","Fail")</f>
        <v>Fail</v>
      </c>
      <c r="E45" s="152"/>
      <c r="F45" s="152"/>
    </row>
    <row r="46" spans="1:10" s="49" customFormat="1" ht="83" customHeight="1" thickTop="1" thickBot="1" x14ac:dyDescent="0.25">
      <c r="A46" s="40" t="s">
        <v>75</v>
      </c>
      <c r="B46" s="59" t="s">
        <v>288</v>
      </c>
      <c r="C46" s="26" t="s">
        <v>286</v>
      </c>
      <c r="D46" s="98" t="str">
        <f>IF(C46="No",'Supporting Information Required'!C33,IF(C46="Yes",'Supporting Information Required'!E33, ""))</f>
        <v/>
      </c>
      <c r="E46" s="79" t="str">
        <f>IF(C46="No",'Supporting Information Required'!C33,IF(C46="Yes",'Supporting Information Required'!D33,IF(C46="NA","Ok","")))</f>
        <v/>
      </c>
      <c r="F46" s="152"/>
    </row>
    <row r="47" spans="1:10" ht="20" thickTop="1" x14ac:dyDescent="0.2">
      <c r="A47" s="36"/>
      <c r="B47" s="37"/>
      <c r="C47" s="38"/>
      <c r="D47" s="66"/>
      <c r="E47" s="45"/>
      <c r="F47" s="45"/>
    </row>
    <row r="48" spans="1:10" ht="27" customHeight="1" x14ac:dyDescent="0.2">
      <c r="A48" s="52" t="s">
        <v>18</v>
      </c>
      <c r="B48" s="34"/>
      <c r="C48" s="35"/>
      <c r="D48" s="65"/>
      <c r="E48" s="34"/>
      <c r="F48" s="34"/>
    </row>
    <row r="49" spans="1:6" ht="1" hidden="1" customHeight="1" x14ac:dyDescent="0.2">
      <c r="A49" s="53" t="s">
        <v>19</v>
      </c>
      <c r="B49" s="53"/>
      <c r="C49" s="54"/>
      <c r="D49" s="53"/>
      <c r="E49" s="53"/>
      <c r="F49" s="53"/>
    </row>
    <row r="50" spans="1:6" ht="19" x14ac:dyDescent="0.25">
      <c r="A50" s="180" t="s">
        <v>174</v>
      </c>
      <c r="B50" s="180"/>
      <c r="C50" s="180"/>
      <c r="D50" s="48"/>
      <c r="E50" s="47"/>
      <c r="F50" s="47"/>
    </row>
    <row r="51" spans="1:6" ht="20" thickBot="1" x14ac:dyDescent="0.25">
      <c r="A51" s="36"/>
      <c r="B51" s="37"/>
      <c r="C51" s="38"/>
      <c r="D51" s="66"/>
      <c r="E51" s="44"/>
      <c r="F51" s="44"/>
    </row>
    <row r="52" spans="1:6" ht="189.5" customHeight="1" thickTop="1" thickBot="1" x14ac:dyDescent="0.25">
      <c r="A52" s="157" t="s">
        <v>20</v>
      </c>
      <c r="B52" s="137" t="s">
        <v>674</v>
      </c>
      <c r="C52" s="25" t="str">
        <f>IF(C53="&lt;select&gt;", "", IF(D52="Fail", "No", IF(D52="Pass", "Yes")))</f>
        <v/>
      </c>
      <c r="D52" s="90" t="str">
        <f>IF(C53="Yes","Pass","Fail")</f>
        <v>Fail</v>
      </c>
      <c r="E52" s="147"/>
      <c r="F52" s="147"/>
    </row>
    <row r="53" spans="1:6" ht="93" customHeight="1" thickTop="1" thickBot="1" x14ac:dyDescent="0.25">
      <c r="A53" s="40" t="s">
        <v>76</v>
      </c>
      <c r="B53" s="61" t="s">
        <v>230</v>
      </c>
      <c r="C53" s="26" t="s">
        <v>286</v>
      </c>
      <c r="D53" s="95" t="str">
        <f>IF(C53="No",'Supporting Information Required'!C39,IF(C53="Yes",'Supporting Information Required'!D39,IF(C53="NA",'Supporting Information Required'!E39,"")))</f>
        <v/>
      </c>
      <c r="E53" s="79" t="str">
        <f>IF(C53="No",'Supporting Information Required'!C39,IF(C53="Yes",'Supporting Information Required'!D39,IF(C53="NA",'Supporting Information Required'!E39,"")))</f>
        <v/>
      </c>
      <c r="F53" s="147"/>
    </row>
    <row r="54" spans="1:6" ht="204.5" customHeight="1" thickTop="1" thickBot="1" x14ac:dyDescent="0.25">
      <c r="A54" s="157" t="s">
        <v>21</v>
      </c>
      <c r="B54" s="39" t="s">
        <v>675</v>
      </c>
      <c r="C54" s="25" t="str">
        <f>IF(C55="&lt;select&gt;", "", IF(D54="Fail", "No", IF(D54="Pass", "Yes")))</f>
        <v/>
      </c>
      <c r="D54" s="99" t="str">
        <f>IF(OR((C55="Yes"), AND(C57="Yes", C58="Yes", C56="Yes")),"Pass","Fail")</f>
        <v>Fail</v>
      </c>
      <c r="E54" s="147"/>
      <c r="F54" s="147"/>
    </row>
    <row r="55" spans="1:6" s="49" customFormat="1" ht="55" customHeight="1" thickTop="1" thickBot="1" x14ac:dyDescent="0.25">
      <c r="A55" s="40" t="s">
        <v>77</v>
      </c>
      <c r="B55" s="41" t="s">
        <v>289</v>
      </c>
      <c r="C55" s="26" t="s">
        <v>286</v>
      </c>
      <c r="D55" s="95" t="str">
        <f>IF(C55="No",'Supporting Information Required'!C41,IF(C55="Yes",'Supporting Information Required'!D41,IF(C55="NA",'Supporting Information Required'!E41,"")))</f>
        <v/>
      </c>
      <c r="E55" s="79" t="str">
        <f>IF(C55="No",'Supporting Information Required'!C41,IF(C55="Yes",'Supporting Information Required'!D41,IF(C55="NA",'Supporting Information Required'!E41,"")))</f>
        <v/>
      </c>
      <c r="F55" s="147"/>
    </row>
    <row r="56" spans="1:6" s="49" customFormat="1" ht="55" customHeight="1" thickTop="1" thickBot="1" x14ac:dyDescent="0.25">
      <c r="A56" s="40" t="s">
        <v>368</v>
      </c>
      <c r="B56" s="41" t="s">
        <v>377</v>
      </c>
      <c r="C56" s="26" t="s">
        <v>286</v>
      </c>
      <c r="D56" s="95"/>
      <c r="E56" s="79" t="str">
        <f>IF(C56="No",'Supporting Information Required'!C42,IF(C56="Yes",'Supporting Information Required'!D42,IF(C56="NA",'Supporting Information Required'!E42,"")))</f>
        <v/>
      </c>
      <c r="F56" s="147"/>
    </row>
    <row r="57" spans="1:6" s="49" customFormat="1" ht="55" customHeight="1" thickTop="1" thickBot="1" x14ac:dyDescent="0.25">
      <c r="A57" s="40" t="s">
        <v>370</v>
      </c>
      <c r="B57" s="41" t="s">
        <v>369</v>
      </c>
      <c r="C57" s="26" t="s">
        <v>286</v>
      </c>
      <c r="D57" s="95"/>
      <c r="E57" s="79" t="str">
        <f>IF(C57="No",'Supporting Information Required'!C43,IF(C57="Yes",'Supporting Information Required'!D43,IF(C57="N/A",'Supporting Information Required'!E43,"")))</f>
        <v/>
      </c>
      <c r="F57" s="147"/>
    </row>
    <row r="58" spans="1:6" s="49" customFormat="1" ht="55" customHeight="1" thickTop="1" thickBot="1" x14ac:dyDescent="0.25">
      <c r="A58" s="40" t="s">
        <v>376</v>
      </c>
      <c r="B58" s="41" t="s">
        <v>371</v>
      </c>
      <c r="C58" s="26" t="s">
        <v>286</v>
      </c>
      <c r="D58" s="95"/>
      <c r="E58" s="79" t="str">
        <f>IF(C58="No",'Supporting Information Required'!C44,IF(C58="Yes",'Supporting Information Required'!D44,IF(C58="N/A",'Supporting Information Required'!E44,"")))</f>
        <v/>
      </c>
      <c r="F58" s="147"/>
    </row>
    <row r="59" spans="1:6" ht="155" customHeight="1" thickTop="1" thickBot="1" x14ac:dyDescent="0.25">
      <c r="A59" s="157" t="s">
        <v>22</v>
      </c>
      <c r="B59" s="39" t="s">
        <v>676</v>
      </c>
      <c r="C59" s="25" t="str">
        <f>IF(C60="&lt;select&gt;", "", IF(D59="Fail", "No", IF(D59="Pass", "Yes")))</f>
        <v/>
      </c>
      <c r="D59" s="90" t="str">
        <f>IF(C60="Yes","Pass","Fail")</f>
        <v>Fail</v>
      </c>
      <c r="E59" s="147"/>
      <c r="F59" s="147"/>
    </row>
    <row r="60" spans="1:6" ht="104" customHeight="1" thickTop="1" thickBot="1" x14ac:dyDescent="0.25">
      <c r="A60" s="40" t="s">
        <v>78</v>
      </c>
      <c r="B60" s="61" t="s">
        <v>231</v>
      </c>
      <c r="C60" s="26" t="s">
        <v>286</v>
      </c>
      <c r="D60" s="95" t="str">
        <f>IF(C60="No",'Supporting Information Required'!C46,IF(C60="Yes",'Supporting Information Required'!D46,IF(C60="NA",'Supporting Information Required'!E46,"")))</f>
        <v/>
      </c>
      <c r="E60" s="79" t="str">
        <f>IF(C60="No",'Supporting Information Required'!C46,IF(C60="Yes",'Supporting Information Required'!D46,IF(C60="NA",'Supporting Information Required'!E46,"")))</f>
        <v/>
      </c>
      <c r="F60" s="147"/>
    </row>
    <row r="61" spans="1:6" ht="155" customHeight="1" thickTop="1" thickBot="1" x14ac:dyDescent="0.25">
      <c r="A61" s="157" t="s">
        <v>23</v>
      </c>
      <c r="B61" s="39" t="s">
        <v>176</v>
      </c>
      <c r="C61" s="25" t="str">
        <f>IF(C62="&lt;select&gt;", "", IF(D61="Fail", "No", IF(D61="Pass", "Yes")))</f>
        <v/>
      </c>
      <c r="D61" s="90" t="str">
        <f>IF(C62="Yes", "Pass","Fail")</f>
        <v>Fail</v>
      </c>
      <c r="E61" s="147"/>
      <c r="F61" s="147"/>
    </row>
    <row r="62" spans="1:6" s="49" customFormat="1" ht="69.5" customHeight="1" thickTop="1" thickBot="1" x14ac:dyDescent="0.25">
      <c r="A62" s="40" t="s">
        <v>79</v>
      </c>
      <c r="B62" s="61" t="s">
        <v>232</v>
      </c>
      <c r="C62" s="26" t="s">
        <v>286</v>
      </c>
      <c r="D62" s="95" t="str">
        <f>IF(C62="No",'Supporting Information Required'!C48,IF(C62="Yes",'Supporting Information Required'!D48,IF(C62="NA",'Supporting Information Required'!E48,"")))</f>
        <v/>
      </c>
      <c r="E62" s="79" t="str">
        <f>IF(C62="No",'Supporting Information Required'!C48,IF(C62="Yes",'Supporting Information Required'!D48,IF(C62="NA",'Supporting Information Required'!E48,"")))</f>
        <v/>
      </c>
      <c r="F62" s="147"/>
    </row>
    <row r="63" spans="1:6" ht="165.5" customHeight="1" thickTop="1" thickBot="1" x14ac:dyDescent="0.25">
      <c r="A63" s="157" t="s">
        <v>24</v>
      </c>
      <c r="B63" s="39" t="s">
        <v>345</v>
      </c>
      <c r="C63" s="25" t="str">
        <f>IF(C64="&lt;select&gt;", "", IF(D63="Pass", "Yes", IF(D63="Fail", "No")))</f>
        <v/>
      </c>
      <c r="D63" s="104" t="str">
        <f>IF(OR(C64="No",AND(C64="Yes", C66="Temporary") ), "Pass","Fail")</f>
        <v>Fail</v>
      </c>
      <c r="E63" s="79"/>
      <c r="F63" s="147"/>
    </row>
    <row r="64" spans="1:6" ht="70.5" customHeight="1" thickTop="1" thickBot="1" x14ac:dyDescent="0.25">
      <c r="A64" s="40" t="s">
        <v>80</v>
      </c>
      <c r="B64" s="61" t="s">
        <v>233</v>
      </c>
      <c r="C64" s="26" t="s">
        <v>286</v>
      </c>
      <c r="D64" s="105" t="str">
        <f>IF(C64="No",'Supporting Information Required'!C50,IF(C64="Yes",'Supporting Information Required'!D50, ""))</f>
        <v/>
      </c>
      <c r="E64" s="79" t="str">
        <f>IF(C64="No",'Supporting Information Required'!C50,IF(C64="Yes",'Supporting Information Required'!D50,IF(C64="NA","Ok","")))</f>
        <v/>
      </c>
      <c r="F64" s="147"/>
    </row>
    <row r="65" spans="1:18" s="50" customFormat="1" ht="45" hidden="1" customHeight="1" thickTop="1" thickBot="1" x14ac:dyDescent="0.25">
      <c r="A65" s="108" t="s">
        <v>114</v>
      </c>
      <c r="C65" s="109" t="s">
        <v>67</v>
      </c>
      <c r="D65" s="68"/>
      <c r="E65" s="55"/>
      <c r="F65" s="147"/>
    </row>
    <row r="66" spans="1:18" ht="66" customHeight="1" thickTop="1" thickBot="1" x14ac:dyDescent="0.25">
      <c r="A66" s="110" t="s">
        <v>114</v>
      </c>
      <c r="B66" s="112" t="s">
        <v>301</v>
      </c>
      <c r="C66" s="111" t="s">
        <v>286</v>
      </c>
      <c r="D66" s="40"/>
      <c r="E66" s="79" t="str">
        <f>IF(C66="Static",'Supporting Information Required'!C51,IF(C66="Temporary",'Supporting Information Required'!D51,IF(C66="N/A","Ok","")))</f>
        <v/>
      </c>
      <c r="F66" s="147"/>
    </row>
    <row r="67" spans="1:18" ht="194.5" customHeight="1" thickTop="1" thickBot="1" x14ac:dyDescent="0.25">
      <c r="A67" s="157" t="s">
        <v>25</v>
      </c>
      <c r="B67" s="39" t="s">
        <v>646</v>
      </c>
      <c r="C67" s="25" t="str">
        <f>IF(C68="&lt;select&gt;", "", IF(D67="Fail", "No", IF(D67="Pass", "Yes")))</f>
        <v/>
      </c>
      <c r="D67" s="103" t="str">
        <f>IF(C68="Yes","Pass","Fail")</f>
        <v>Fail</v>
      </c>
      <c r="E67" s="147"/>
      <c r="F67" s="147"/>
    </row>
    <row r="68" spans="1:18" s="49" customFormat="1" ht="111.5" customHeight="1" thickTop="1" thickBot="1" x14ac:dyDescent="0.25">
      <c r="A68" s="40" t="s">
        <v>81</v>
      </c>
      <c r="B68" s="61" t="s">
        <v>234</v>
      </c>
      <c r="C68" s="26" t="s">
        <v>286</v>
      </c>
      <c r="D68" s="98" t="str">
        <f>IF(C68="No",'Supporting Information Required'!C54,IF(C68="Yes",'Supporting Information Required'!D54, ""))</f>
        <v/>
      </c>
      <c r="E68" s="79" t="str">
        <f>IF(C68="No",'Supporting Information Required'!C54,IF(C68="Yes",'Supporting Information Required'!D54,IF(C68="NA","Ok","")))</f>
        <v/>
      </c>
      <c r="F68" s="147"/>
      <c r="G68" s="28"/>
      <c r="H68" s="28"/>
      <c r="I68" s="28"/>
      <c r="J68" s="28"/>
      <c r="K68" s="28"/>
      <c r="L68" s="28"/>
      <c r="M68" s="28"/>
      <c r="N68" s="28"/>
      <c r="O68" s="28"/>
      <c r="P68" s="28"/>
      <c r="Q68" s="28"/>
      <c r="R68" s="28"/>
    </row>
    <row r="69" spans="1:18" ht="155" customHeight="1" thickTop="1" thickBot="1" x14ac:dyDescent="0.25">
      <c r="A69" s="157" t="s">
        <v>26</v>
      </c>
      <c r="B69" s="39" t="s">
        <v>27</v>
      </c>
      <c r="C69" s="25" t="str">
        <f>IF(C70="&lt;select&gt;", "", IF(D69="Fail", "No", IF(D69="Pass", "Yes")))</f>
        <v/>
      </c>
      <c r="D69" s="104" t="str">
        <f>IF(C70="Yes","Pass","Fail")</f>
        <v>Fail</v>
      </c>
      <c r="E69" s="147"/>
      <c r="F69" s="147"/>
    </row>
    <row r="70" spans="1:18" s="50" customFormat="1" ht="61.5" customHeight="1" thickTop="1" thickBot="1" x14ac:dyDescent="0.25">
      <c r="A70" s="40" t="s">
        <v>82</v>
      </c>
      <c r="B70" s="61" t="s">
        <v>235</v>
      </c>
      <c r="C70" s="26" t="s">
        <v>286</v>
      </c>
      <c r="D70" s="98" t="str">
        <f>IF(C70="No",'Supporting Information Required'!C56,IF(C70="Yes",'Supporting Information Required'!D56, ""))</f>
        <v/>
      </c>
      <c r="E70" s="79" t="str">
        <f>IF(C70="No",'Supporting Information Required'!C56,IF(C70="Yes",'Supporting Information Required'!D56,IF(C70="NA","Ok","")))</f>
        <v/>
      </c>
      <c r="F70" s="147"/>
      <c r="G70" s="28"/>
      <c r="H70" s="28"/>
      <c r="I70" s="28"/>
      <c r="J70" s="28"/>
      <c r="K70" s="28"/>
      <c r="L70" s="28"/>
      <c r="M70" s="28"/>
      <c r="N70" s="28"/>
      <c r="O70" s="28"/>
      <c r="P70" s="28"/>
      <c r="Q70" s="28"/>
      <c r="R70" s="28"/>
    </row>
    <row r="71" spans="1:18" ht="170" customHeight="1" thickTop="1" thickBot="1" x14ac:dyDescent="0.25">
      <c r="A71" s="157" t="s">
        <v>28</v>
      </c>
      <c r="B71" s="39" t="s">
        <v>302</v>
      </c>
      <c r="C71" s="25" t="str">
        <f>IF(C72="&lt;select&gt;", "", IF(D71="Fail", "No", IF(D71="Pass", "Yes")))</f>
        <v/>
      </c>
      <c r="D71" s="103" t="str">
        <f>IF(C72="Yes","Pass","Fail")</f>
        <v>Fail</v>
      </c>
      <c r="E71" s="147"/>
      <c r="F71" s="147"/>
    </row>
    <row r="72" spans="1:18" s="49" customFormat="1" ht="70" customHeight="1" thickTop="1" thickBot="1" x14ac:dyDescent="0.25">
      <c r="A72" s="40" t="s">
        <v>87</v>
      </c>
      <c r="B72" s="61" t="s">
        <v>236</v>
      </c>
      <c r="C72" s="26" t="s">
        <v>286</v>
      </c>
      <c r="D72" s="98" t="str">
        <f>IF(C72="No",'Supporting Information Required'!C58,IF(C72="Yes",'Supporting Information Required'!D58, ""))</f>
        <v/>
      </c>
      <c r="E72" s="79" t="str">
        <f>IF(C72="No",'Supporting Information Required'!C58,IF(C72="Yes",'Supporting Information Required'!D58,IF(C72="NA","Ok","")))</f>
        <v/>
      </c>
      <c r="F72" s="147"/>
    </row>
    <row r="73" spans="1:18" ht="155" customHeight="1" thickTop="1" thickBot="1" x14ac:dyDescent="0.25">
      <c r="A73" s="157" t="s">
        <v>29</v>
      </c>
      <c r="B73" s="39" t="s">
        <v>177</v>
      </c>
      <c r="C73" s="25" t="str">
        <f>IF(C74="&lt;select&gt;", "", IF(D73="Fail", "No", IF(D73="Pass", "Yes")))</f>
        <v/>
      </c>
      <c r="D73" s="90" t="str">
        <f>IF(C74="No","Pass","Fail")</f>
        <v>Fail</v>
      </c>
      <c r="E73" s="147"/>
      <c r="F73" s="147"/>
    </row>
    <row r="74" spans="1:18" ht="49" customHeight="1" thickTop="1" thickBot="1" x14ac:dyDescent="0.25">
      <c r="A74" s="40" t="s">
        <v>88</v>
      </c>
      <c r="B74" s="61" t="s">
        <v>237</v>
      </c>
      <c r="C74" s="26" t="s">
        <v>286</v>
      </c>
      <c r="D74" s="95"/>
      <c r="E74" s="79" t="str">
        <f>IF(C74="No",'Supporting Information Required'!C60,IF(C74="Yes",'Supporting Information Required'!D60,IF(C74="NA",'Supporting Information Required'!E60,"")))</f>
        <v/>
      </c>
      <c r="F74" s="147"/>
    </row>
    <row r="75" spans="1:18" ht="168" customHeight="1" thickTop="1" thickBot="1" x14ac:dyDescent="0.25">
      <c r="A75" s="157" t="s">
        <v>30</v>
      </c>
      <c r="B75" s="39" t="s">
        <v>346</v>
      </c>
      <c r="C75" s="25" t="str">
        <f>IF(C76="&lt;select&gt;", "", IF(D75="Fail", "No", IF(D75="Pass", "Yes")))</f>
        <v/>
      </c>
      <c r="D75" s="90" t="str">
        <f>IF(C76="Yes","Pass","Fail")</f>
        <v>Fail</v>
      </c>
      <c r="E75" s="79"/>
      <c r="F75" s="147"/>
    </row>
    <row r="76" spans="1:18" s="49" customFormat="1" ht="67" customHeight="1" thickTop="1" thickBot="1" x14ac:dyDescent="0.25">
      <c r="A76" s="40" t="s">
        <v>89</v>
      </c>
      <c r="B76" s="61" t="s">
        <v>290</v>
      </c>
      <c r="C76" s="26" t="s">
        <v>286</v>
      </c>
      <c r="D76" s="95" t="str">
        <f>IF(C76="No",'Supporting Information Required'!C62,IF(C76="Yes",'Supporting Information Required'!D62,IF(C76="NA",'Supporting Information Required'!E62,"")))</f>
        <v/>
      </c>
      <c r="E76" s="79" t="str">
        <f>IF(C76="No",'Supporting Information Required'!C62,IF(C76="Yes",'Supporting Information Required'!D62,IF(C76="NA",'Supporting Information Required'!E62,"")))</f>
        <v/>
      </c>
      <c r="F76" s="147"/>
    </row>
    <row r="77" spans="1:18" ht="155" customHeight="1" thickTop="1" thickBot="1" x14ac:dyDescent="0.25">
      <c r="A77" s="157" t="s">
        <v>31</v>
      </c>
      <c r="B77" s="39" t="s">
        <v>178</v>
      </c>
      <c r="C77" s="25" t="str">
        <f>IF(C78="&lt;select&gt;", "", IF(D77="Fail", "No", IF(D77="Pass", "Yes")))</f>
        <v/>
      </c>
      <c r="D77" s="104" t="str">
        <f>IF(C78="Yes", "Pass","Fail")</f>
        <v>Fail</v>
      </c>
      <c r="E77" s="147"/>
      <c r="F77" s="147"/>
    </row>
    <row r="78" spans="1:18" ht="65" customHeight="1" thickTop="1" thickBot="1" x14ac:dyDescent="0.25">
      <c r="A78" s="40" t="s">
        <v>90</v>
      </c>
      <c r="B78" s="61" t="s">
        <v>350</v>
      </c>
      <c r="C78" s="26" t="s">
        <v>286</v>
      </c>
      <c r="D78" s="98" t="str">
        <f>IF(C78="No",'Supporting Information Required'!C64,IF(C78="Yes",'Supporting Information Required'!D64, ""))</f>
        <v/>
      </c>
      <c r="E78" s="79" t="str">
        <f>IF(C78="No",'Supporting Information Required'!C64,IF(C78="Yes",'Supporting Information Required'!D64,IF(C78="NA","Ok","")))</f>
        <v/>
      </c>
      <c r="F78" s="147"/>
    </row>
    <row r="79" spans="1:18" s="143" customFormat="1" ht="236.5" customHeight="1" thickTop="1" thickBot="1" x14ac:dyDescent="0.25">
      <c r="A79" s="157" t="s">
        <v>32</v>
      </c>
      <c r="B79" s="39" t="s">
        <v>322</v>
      </c>
      <c r="C79" s="25" t="str">
        <f>IF(C80="&lt;select&gt;", "", IF(D79="Fail", "No", IF(D79="Pass", "Yes")))</f>
        <v/>
      </c>
      <c r="D79" s="103" t="str">
        <f>IF(AND(OR(C80="Yes",C80="N/A"), OR(C81="N/A", C81="Yes")), "Pass","Fail")</f>
        <v>Fail</v>
      </c>
      <c r="E79" s="147"/>
      <c r="F79" s="147"/>
    </row>
    <row r="80" spans="1:18" s="144" customFormat="1" ht="87" customHeight="1" thickTop="1" thickBot="1" x14ac:dyDescent="0.25">
      <c r="A80" s="40" t="s">
        <v>91</v>
      </c>
      <c r="B80" s="41" t="s">
        <v>624</v>
      </c>
      <c r="C80" s="26" t="s">
        <v>286</v>
      </c>
      <c r="D80" s="98" t="str">
        <f>IF(C80="No",'Supporting Information Required'!C66,IF(C80="Yes",'Supporting Information Required'!D66, ""))</f>
        <v/>
      </c>
      <c r="E80" s="79" t="str">
        <f>IF(C80="No",'Supporting Information Required'!C66,IF(C80="Yes",'Supporting Information Required'!D66,IF(C80="N/A",'Supporting Information Required'!E66,"")))</f>
        <v/>
      </c>
      <c r="F80" s="147"/>
    </row>
    <row r="81" spans="1:16" s="144" customFormat="1" ht="87" customHeight="1" thickTop="1" thickBot="1" x14ac:dyDescent="0.25">
      <c r="A81" s="40" t="s">
        <v>619</v>
      </c>
      <c r="B81" s="41" t="s">
        <v>625</v>
      </c>
      <c r="C81" s="26" t="s">
        <v>286</v>
      </c>
      <c r="D81" s="98"/>
      <c r="E81" s="79" t="str">
        <f>IF(C81="No",'Supporting Information Required'!C67,IF(C81="Yes",'Supporting Information Required'!D67,IF(C81="N/A",'Supporting Information Required'!E67,"")))</f>
        <v/>
      </c>
      <c r="F81" s="147"/>
    </row>
    <row r="82" spans="1:16" ht="20" thickTop="1" x14ac:dyDescent="0.2">
      <c r="A82" s="36"/>
      <c r="B82" s="37"/>
      <c r="C82" s="38"/>
      <c r="D82" s="66"/>
      <c r="E82" s="29"/>
      <c r="F82" s="29"/>
    </row>
    <row r="83" spans="1:16" ht="24" x14ac:dyDescent="0.25">
      <c r="A83" s="178" t="s">
        <v>175</v>
      </c>
      <c r="B83" s="178"/>
      <c r="C83" s="178"/>
      <c r="D83" s="48"/>
      <c r="E83" s="47"/>
      <c r="F83" s="47"/>
    </row>
    <row r="84" spans="1:16" ht="20" thickBot="1" x14ac:dyDescent="0.25">
      <c r="A84" s="36"/>
      <c r="B84" s="37"/>
      <c r="C84" s="38"/>
      <c r="D84" s="66"/>
      <c r="E84" s="44"/>
      <c r="F84" s="44"/>
    </row>
    <row r="85" spans="1:16" ht="307" customHeight="1" thickTop="1" thickBot="1" x14ac:dyDescent="0.25">
      <c r="A85" s="157" t="s">
        <v>34</v>
      </c>
      <c r="B85" s="39" t="s">
        <v>323</v>
      </c>
      <c r="C85" s="25" t="str">
        <f>IF(C86="&lt;select&gt;", "", IF(D85="Fail", "No", IF(D85="Pass", "Yes")))</f>
        <v/>
      </c>
      <c r="D85" s="104" t="str">
        <f>IF(C86="Yes", "Pass", "Fail")</f>
        <v>Fail</v>
      </c>
      <c r="E85" s="147"/>
      <c r="F85" s="147"/>
    </row>
    <row r="86" spans="1:16" s="50" customFormat="1" ht="63" customHeight="1" thickTop="1" thickBot="1" x14ac:dyDescent="0.25">
      <c r="A86" s="40" t="s">
        <v>34</v>
      </c>
      <c r="B86" s="61" t="s">
        <v>238</v>
      </c>
      <c r="C86" s="26" t="s">
        <v>286</v>
      </c>
      <c r="D86" s="98" t="str">
        <f>IF(C86="No",'Supporting Information Required'!D73,IF(C86="Yes",'Supporting Information Required'!C73, ""))</f>
        <v/>
      </c>
      <c r="E86" s="79" t="str">
        <f>IF(C86="No",'Supporting Information Required'!C73,IF(C86="Yes",'Supporting Information Required'!D73,IF(C86="NA","Ok","")))</f>
        <v/>
      </c>
      <c r="F86" s="147"/>
      <c r="G86" s="28"/>
      <c r="H86" s="28"/>
      <c r="I86" s="28"/>
      <c r="J86" s="28"/>
      <c r="K86" s="28"/>
      <c r="L86" s="28"/>
      <c r="M86" s="28"/>
      <c r="N86" s="28"/>
      <c r="O86" s="28"/>
      <c r="P86" s="28"/>
    </row>
    <row r="87" spans="1:16" ht="20" thickTop="1" x14ac:dyDescent="0.2">
      <c r="A87" s="36"/>
      <c r="B87" s="57"/>
      <c r="C87" s="38"/>
      <c r="D87" s="66"/>
      <c r="E87" s="45"/>
      <c r="F87" s="45"/>
    </row>
    <row r="88" spans="1:16" ht="24" x14ac:dyDescent="0.25">
      <c r="A88" s="178" t="s">
        <v>35</v>
      </c>
      <c r="B88" s="178"/>
      <c r="C88" s="178"/>
      <c r="D88" s="48"/>
      <c r="E88" s="47"/>
      <c r="F88" s="47"/>
    </row>
    <row r="89" spans="1:16" ht="20" thickBot="1" x14ac:dyDescent="0.25">
      <c r="A89" s="36"/>
      <c r="B89" s="37"/>
      <c r="C89" s="56"/>
      <c r="D89" s="66"/>
      <c r="E89" s="44"/>
      <c r="F89" s="44"/>
    </row>
    <row r="90" spans="1:16" ht="155" customHeight="1" thickTop="1" thickBot="1" x14ac:dyDescent="0.25">
      <c r="A90" s="157" t="s">
        <v>36</v>
      </c>
      <c r="B90" s="142" t="s">
        <v>677</v>
      </c>
      <c r="C90" s="25" t="str">
        <f>IF(C91="&lt;select&gt;", "", IF(D90="Fail", "No", IF(D90="Pass", "Yes")))</f>
        <v/>
      </c>
      <c r="D90" s="104" t="str">
        <f>IF(AND(C91="Yes", C92="Yes"),"Pass","Fail")</f>
        <v>Fail</v>
      </c>
      <c r="E90" s="147"/>
      <c r="F90" s="147"/>
    </row>
    <row r="91" spans="1:16" s="50" customFormat="1" ht="52.5" customHeight="1" thickTop="1" thickBot="1" x14ac:dyDescent="0.25">
      <c r="A91" s="40" t="s">
        <v>93</v>
      </c>
      <c r="B91" s="41" t="s">
        <v>117</v>
      </c>
      <c r="C91" s="26" t="s">
        <v>286</v>
      </c>
      <c r="D91" s="98" t="str">
        <f>IF(C91="No",'Supporting Information Required'!C78,IF(C91="Yes",'Supporting Information Required'!D78, ""))</f>
        <v/>
      </c>
      <c r="E91" s="79" t="str">
        <f>IF(C91="No",'Supporting Information Required'!C78,IF(C91="Yes",'Supporting Information Required'!D78,IF(C91="NA","Ok","")))</f>
        <v/>
      </c>
      <c r="F91" s="147"/>
      <c r="G91" s="28"/>
      <c r="H91" s="28"/>
      <c r="I91" s="28"/>
      <c r="J91" s="28"/>
      <c r="K91" s="28"/>
      <c r="L91" s="28"/>
      <c r="M91" s="28"/>
      <c r="N91" s="28"/>
      <c r="O91" s="28"/>
      <c r="P91" s="28"/>
    </row>
    <row r="92" spans="1:16" s="50" customFormat="1" ht="67" customHeight="1" thickTop="1" thickBot="1" x14ac:dyDescent="0.25">
      <c r="A92" s="40" t="s">
        <v>115</v>
      </c>
      <c r="B92" s="59" t="s">
        <v>355</v>
      </c>
      <c r="C92" s="26" t="s">
        <v>286</v>
      </c>
      <c r="D92" s="98" t="str">
        <f>IF(C92="No",'Supporting Information Required'!C79,IF(C92="Yes",'Supporting Information Required'!D79, ""))</f>
        <v/>
      </c>
      <c r="E92" s="79" t="str">
        <f>IF(C92="No",'Supporting Information Required'!C79,IF(C92="Yes",'Supporting Information Required'!D79,IF(C92="NA","Ok","")))</f>
        <v/>
      </c>
      <c r="F92" s="147"/>
      <c r="G92" s="28"/>
      <c r="H92" s="28"/>
      <c r="I92" s="28"/>
      <c r="J92" s="28"/>
      <c r="K92" s="28"/>
      <c r="L92" s="28"/>
      <c r="M92" s="28"/>
      <c r="N92" s="28"/>
      <c r="O92" s="28"/>
      <c r="P92" s="28"/>
    </row>
    <row r="93" spans="1:16" ht="100.5" customHeight="1" thickTop="1" thickBot="1" x14ac:dyDescent="0.25">
      <c r="A93" s="157" t="s">
        <v>37</v>
      </c>
      <c r="B93" s="39" t="s">
        <v>180</v>
      </c>
      <c r="C93" s="25" t="str">
        <f>IF(C94="&lt;select&gt;", "", IF(D93="Fail", "No", IF(D93="Pass", "Yes")))</f>
        <v/>
      </c>
      <c r="D93" s="103" t="str">
        <f>IF(OR(AND(C94="No",E93&lt;&gt;""),C94="Yes"), "Pass","Fail")</f>
        <v>Fail</v>
      </c>
      <c r="E93" s="147"/>
      <c r="F93" s="147"/>
    </row>
    <row r="94" spans="1:16" s="49" customFormat="1" ht="61" customHeight="1" thickTop="1" thickBot="1" x14ac:dyDescent="0.25">
      <c r="A94" s="40" t="s">
        <v>94</v>
      </c>
      <c r="B94" s="59" t="s">
        <v>239</v>
      </c>
      <c r="C94" s="26" t="s">
        <v>286</v>
      </c>
      <c r="D94" s="98" t="str">
        <f>IF(C94="No",'Supporting Information Required'!C82,IF(C94="Yes",'Supporting Information Required'!D82, ""))</f>
        <v/>
      </c>
      <c r="E94" s="79" t="str">
        <f>IF(C94="No",'Supporting Information Required'!C82,IF(C94="Yes",'Supporting Information Required'!D82,IF(C94="NA","Ok","")))</f>
        <v/>
      </c>
      <c r="F94" s="147"/>
    </row>
    <row r="95" spans="1:16" ht="20" thickTop="1" x14ac:dyDescent="0.2">
      <c r="A95" s="36"/>
      <c r="B95" s="37"/>
      <c r="C95" s="38"/>
      <c r="D95" s="66"/>
      <c r="E95" s="29"/>
      <c r="F95" s="29"/>
    </row>
    <row r="96" spans="1:16" ht="24" x14ac:dyDescent="0.25">
      <c r="A96" s="178" t="s">
        <v>179</v>
      </c>
      <c r="B96" s="178"/>
      <c r="C96" s="178"/>
      <c r="D96" s="48"/>
      <c r="E96" s="47"/>
      <c r="F96" s="47"/>
    </row>
    <row r="97" spans="1:13" ht="20" thickBot="1" x14ac:dyDescent="0.25">
      <c r="A97" s="36"/>
      <c r="B97" s="37"/>
      <c r="C97" s="38"/>
      <c r="D97" s="66"/>
      <c r="E97" s="44"/>
      <c r="F97" s="44"/>
    </row>
    <row r="98" spans="1:13" ht="216.5" customHeight="1" thickTop="1" thickBot="1" x14ac:dyDescent="0.25">
      <c r="A98" s="157" t="s">
        <v>39</v>
      </c>
      <c r="B98" s="39" t="s">
        <v>324</v>
      </c>
      <c r="C98" s="25" t="str">
        <f>IF(C99="&lt;select&gt;", "", IF(D98="Fail", "No", IF(D98="Pass", "Yes")))</f>
        <v/>
      </c>
      <c r="D98" s="104" t="str">
        <f>IF(C99="Yes", "Pass", "Fail")</f>
        <v>Fail</v>
      </c>
      <c r="E98" s="147"/>
      <c r="F98" s="147"/>
    </row>
    <row r="99" spans="1:13" s="50" customFormat="1" ht="61" customHeight="1" thickTop="1" thickBot="1" x14ac:dyDescent="0.25">
      <c r="A99" s="40" t="s">
        <v>95</v>
      </c>
      <c r="B99" s="62" t="s">
        <v>291</v>
      </c>
      <c r="C99" s="26" t="s">
        <v>286</v>
      </c>
      <c r="D99" s="98" t="str">
        <f>IF(C99="No",'Supporting Information Required'!C87,IF(C99="Yes",'Supporting Information Required'!D87, ""))</f>
        <v/>
      </c>
      <c r="E99" s="79" t="str">
        <f>IF(C99="No",'Supporting Information Required'!C87,IF(C99="Yes",'Supporting Information Required'!D87,IF(C99="NA","Ok","")))</f>
        <v/>
      </c>
      <c r="F99" s="147"/>
      <c r="G99" s="28"/>
      <c r="H99" s="28"/>
      <c r="I99" s="28"/>
      <c r="J99" s="28"/>
      <c r="K99" s="28"/>
      <c r="L99" s="28"/>
      <c r="M99" s="28"/>
    </row>
    <row r="100" spans="1:13" ht="145.5" customHeight="1" thickTop="1" thickBot="1" x14ac:dyDescent="0.25">
      <c r="A100" s="157" t="s">
        <v>40</v>
      </c>
      <c r="B100" s="39" t="s">
        <v>325</v>
      </c>
      <c r="C100" s="25" t="str">
        <f>IF(C101="&lt;select&gt;", "", IF(D100="Fail", "No", IF(D100="Pass", "Yes")))</f>
        <v/>
      </c>
      <c r="D100" s="103" t="str">
        <f>IF(AND(C101="Yes",C102="Yes"), "Pass","Fail")</f>
        <v>Fail</v>
      </c>
      <c r="E100" s="147"/>
      <c r="F100" s="147"/>
    </row>
    <row r="101" spans="1:13" s="49" customFormat="1" ht="62" customHeight="1" thickTop="1" thickBot="1" x14ac:dyDescent="0.25">
      <c r="A101" s="40" t="s">
        <v>96</v>
      </c>
      <c r="B101" s="41" t="s">
        <v>118</v>
      </c>
      <c r="C101" s="26" t="s">
        <v>286</v>
      </c>
      <c r="D101" s="98" t="str">
        <f>IF(C101="No",'Supporting Information Required'!C89,IF(C101="Yes",'Supporting Information Required'!D89, ""))</f>
        <v/>
      </c>
      <c r="E101" s="79" t="str">
        <f>IF(C101="No",'Supporting Information Required'!C89,IF(C101="Yes",'Supporting Information Required'!D89,IF(C101="NA","Ok","")))</f>
        <v/>
      </c>
      <c r="F101" s="147"/>
    </row>
    <row r="102" spans="1:13" s="49" customFormat="1" ht="62" customHeight="1" thickTop="1" thickBot="1" x14ac:dyDescent="0.25">
      <c r="A102" s="40" t="s">
        <v>305</v>
      </c>
      <c r="B102" s="41" t="s">
        <v>306</v>
      </c>
      <c r="C102" s="26" t="s">
        <v>286</v>
      </c>
      <c r="D102" s="98" t="str">
        <f>IF(C102="No",'Supporting Information Required'!C90,IF(C102="Yes",'Supporting Information Required'!D90, ""))</f>
        <v/>
      </c>
      <c r="E102" s="79" t="str">
        <f>IF(C102="No",'Supporting Information Required'!C90,IF(C102="Yes",'Supporting Information Required'!D90,IF(C102="NA","Ok","")))</f>
        <v/>
      </c>
      <c r="F102" s="147"/>
    </row>
    <row r="103" spans="1:13" ht="20" thickTop="1" x14ac:dyDescent="0.2">
      <c r="A103" s="36"/>
      <c r="B103" s="37"/>
      <c r="C103" s="38"/>
      <c r="D103" s="66"/>
      <c r="E103" s="29"/>
      <c r="F103" s="29"/>
    </row>
    <row r="104" spans="1:13" ht="24" x14ac:dyDescent="0.25">
      <c r="A104" s="178" t="s">
        <v>41</v>
      </c>
      <c r="B104" s="178"/>
      <c r="C104" s="178"/>
      <c r="D104" s="48"/>
      <c r="E104" s="47"/>
      <c r="F104" s="47"/>
    </row>
    <row r="105" spans="1:13" ht="20" thickBot="1" x14ac:dyDescent="0.25">
      <c r="A105" s="36"/>
      <c r="B105" s="37"/>
      <c r="C105" s="38"/>
      <c r="D105" s="66"/>
      <c r="E105" s="44"/>
      <c r="F105" s="44"/>
    </row>
    <row r="106" spans="1:13" ht="155" customHeight="1" thickTop="1" thickBot="1" x14ac:dyDescent="0.25">
      <c r="A106" s="157" t="s">
        <v>42</v>
      </c>
      <c r="B106" s="39" t="s">
        <v>292</v>
      </c>
      <c r="C106" s="25" t="str">
        <f>IF(C107="&lt;select&gt;", "", IF(D106="Fail", "No", IF(D106="Pass", "Yes")))</f>
        <v/>
      </c>
      <c r="D106" s="104" t="str">
        <f>IF(AND(OR(C107="Yes",C107="NA"),OR(E106&lt;&gt;"",E107="Ok")), "Pass","Fail")</f>
        <v>Fail</v>
      </c>
      <c r="E106" s="147"/>
      <c r="F106" s="147"/>
    </row>
    <row r="107" spans="1:13" ht="56.5" customHeight="1" thickTop="1" thickBot="1" x14ac:dyDescent="0.25">
      <c r="A107" s="40" t="s">
        <v>97</v>
      </c>
      <c r="B107" s="59" t="s">
        <v>240</v>
      </c>
      <c r="C107" s="26" t="s">
        <v>286</v>
      </c>
      <c r="D107" s="98" t="str">
        <f>IF(C107="No",'Supporting Information Required'!C95,IF(C107="Yes",'Supporting Information Required'!D95, ""))</f>
        <v/>
      </c>
      <c r="E107" s="79" t="str">
        <f>IF(C107="No",'Supporting Information Required'!C95,IF(C107="Yes",'Supporting Information Required'!D95,IF(C107="NA","Ok","")))</f>
        <v/>
      </c>
      <c r="F107" s="147"/>
    </row>
    <row r="108" spans="1:13" ht="162.5" customHeight="1" thickTop="1" thickBot="1" x14ac:dyDescent="0.25">
      <c r="A108" s="157" t="s">
        <v>43</v>
      </c>
      <c r="B108" s="39" t="s">
        <v>293</v>
      </c>
      <c r="C108" s="25" t="str">
        <f>IF(C109="&lt;select&gt;", "", IF(D108="Fail", "No", IF(D108="Pass", "Yes")))</f>
        <v/>
      </c>
      <c r="D108" s="103" t="str">
        <f>IF(AND(OR(C109="Yes",C109="NA"),OR(E108&lt;&gt;"",E109="Ok")), "Pass","Fail")</f>
        <v>Fail</v>
      </c>
      <c r="E108" s="147"/>
      <c r="F108" s="147"/>
    </row>
    <row r="109" spans="1:13" ht="51.5" customHeight="1" thickTop="1" thickBot="1" x14ac:dyDescent="0.25">
      <c r="A109" s="40" t="s">
        <v>98</v>
      </c>
      <c r="B109" s="59" t="s">
        <v>241</v>
      </c>
      <c r="C109" s="26" t="s">
        <v>286</v>
      </c>
      <c r="D109" s="98" t="str">
        <f>IF(C109="No",'Supporting Information Required'!C97,IF(C109="Yes",'Supporting Information Required'!D97, ""))</f>
        <v/>
      </c>
      <c r="E109" s="79" t="str">
        <f>IF(C109="No",'Supporting Information Required'!C97,IF(C109="Yes",'Supporting Information Required'!D97,IF(C109="NA","Ok","")))</f>
        <v/>
      </c>
      <c r="F109" s="147"/>
    </row>
    <row r="110" spans="1:13" ht="337" thickTop="1" thickBot="1" x14ac:dyDescent="0.25">
      <c r="A110" s="157" t="s">
        <v>44</v>
      </c>
      <c r="B110" s="137" t="s">
        <v>617</v>
      </c>
      <c r="C110" s="25" t="str">
        <f>IF(C111="&lt;select&gt;", "", IF(D110="Fail", "No", IF(D110="Pass", "Yes")))</f>
        <v/>
      </c>
      <c r="D110" s="104" t="str">
        <f>IF(AND(OR(C111="Yes",C111="NA"),OR(E110&lt;&gt;"",E111="Ok")), "Pass","Fail")</f>
        <v>Fail</v>
      </c>
      <c r="E110" s="147"/>
      <c r="F110" s="147"/>
    </row>
    <row r="111" spans="1:13" ht="64" customHeight="1" thickTop="1" thickBot="1" x14ac:dyDescent="0.25">
      <c r="A111" s="40" t="s">
        <v>99</v>
      </c>
      <c r="B111" s="62" t="s">
        <v>242</v>
      </c>
      <c r="C111" s="26" t="s">
        <v>286</v>
      </c>
      <c r="D111" s="98" t="str">
        <f>IF(C111="No",'Supporting Information Required'!C99,IF(C111="Yes",'Supporting Information Required'!D99, ""))</f>
        <v/>
      </c>
      <c r="E111" s="79" t="str">
        <f>IF(C111="No",'Supporting Information Required'!C99,IF(C111="Yes",'Supporting Information Required'!D99,IF(C111="NA","Ok","")))</f>
        <v/>
      </c>
      <c r="F111" s="152" t="str">
        <f>IF(D111="No",'Supporting Information Required'!D99,IF(D111="Yes",'Supporting Information Required'!E99,IF(D111="NA","Ok","")))</f>
        <v/>
      </c>
    </row>
    <row r="112" spans="1:13" ht="181.5" customHeight="1" thickTop="1" thickBot="1" x14ac:dyDescent="0.25">
      <c r="A112" s="157" t="s">
        <v>45</v>
      </c>
      <c r="B112" s="39" t="s">
        <v>181</v>
      </c>
      <c r="C112" s="25" t="str">
        <f>IF(C113="&lt;select&gt;", "", IF(D112="Fail", "No", IF(D112="Pass", "Yes")))</f>
        <v/>
      </c>
      <c r="D112" s="99" t="str">
        <f>IF(C113="Yes","Pass","Fail")</f>
        <v>Fail</v>
      </c>
      <c r="E112" s="147"/>
      <c r="F112" s="147"/>
    </row>
    <row r="113" spans="1:12" s="49" customFormat="1" ht="108" customHeight="1" thickTop="1" thickBot="1" x14ac:dyDescent="0.25">
      <c r="A113" s="40" t="s">
        <v>100</v>
      </c>
      <c r="B113" s="60" t="s">
        <v>243</v>
      </c>
      <c r="C113" s="26" t="s">
        <v>286</v>
      </c>
      <c r="D113" s="96" t="str">
        <f>IF(C113="No",'Supporting Information Required'!C101,IF(C113="Yes",'Supporting Information Required'!D101,IF(C113="NA",'Supporting Information Required'!E101,"")))</f>
        <v/>
      </c>
      <c r="E113" s="79" t="str">
        <f>IF(C113="No",'Supporting Information Required'!C101,IF(C113="Yes",'Supporting Information Required'!D101,IF(C113="NA",'Supporting Information Required'!E101,"")))</f>
        <v/>
      </c>
      <c r="F113" s="147"/>
    </row>
    <row r="114" spans="1:12" ht="155" customHeight="1" thickTop="1" thickBot="1" x14ac:dyDescent="0.25">
      <c r="A114" s="157" t="s">
        <v>46</v>
      </c>
      <c r="B114" s="39" t="s">
        <v>182</v>
      </c>
      <c r="C114" s="25" t="str">
        <f>IF(C115="&lt;select&gt;", "", IF(D114="Fail", "No", IF(D114="Pass", "Yes")))</f>
        <v/>
      </c>
      <c r="D114" s="104" t="str">
        <f>IF(OR(C115="No",AND(C115="Yes", C116="Yes")), "Pass","Fail")</f>
        <v>Fail</v>
      </c>
      <c r="E114" s="147"/>
      <c r="F114" s="147"/>
    </row>
    <row r="115" spans="1:12" ht="58" customHeight="1" thickTop="1" thickBot="1" x14ac:dyDescent="0.25">
      <c r="A115" s="40" t="s">
        <v>101</v>
      </c>
      <c r="B115" s="59" t="s">
        <v>244</v>
      </c>
      <c r="C115" s="26" t="s">
        <v>286</v>
      </c>
      <c r="D115" s="98" t="str">
        <f>IF(C115="No",'Supporting Information Required'!C103,IF(C115="Yes",'Supporting Information Required'!D103, ""))</f>
        <v/>
      </c>
      <c r="E115" s="79" t="str">
        <f>IF(C115="No",'Supporting Information Required'!C103,IF(C115="Yes",'Supporting Information Required'!D103,IF(C115="NA","Ok","")))</f>
        <v/>
      </c>
      <c r="F115" s="147"/>
    </row>
    <row r="116" spans="1:12" ht="58" customHeight="1" thickTop="1" thickBot="1" x14ac:dyDescent="0.25">
      <c r="A116" s="40" t="s">
        <v>664</v>
      </c>
      <c r="B116" s="59" t="s">
        <v>308</v>
      </c>
      <c r="C116" s="26" t="s">
        <v>286</v>
      </c>
      <c r="D116" s="98" t="str">
        <f>IF(C116="No",'Supporting Information Required'!C104,IF(C116="Yes",'Supporting Information Required'!D104, ""))</f>
        <v/>
      </c>
      <c r="E116" s="79" t="str">
        <f>IF(C116="No",'Supporting Information Required'!C104,IF(C116="Yes",'Supporting Information Required'!D104,IF(C116="N/A","Ok","")))</f>
        <v/>
      </c>
      <c r="F116" s="147"/>
    </row>
    <row r="117" spans="1:12" ht="114" thickTop="1" thickBot="1" x14ac:dyDescent="0.25">
      <c r="A117" s="157" t="s">
        <v>47</v>
      </c>
      <c r="B117" s="39" t="s">
        <v>183</v>
      </c>
      <c r="C117" s="25" t="str">
        <f>IF(C118="&lt;select&gt;", "", IF(D117="Fail", "No", IF(D117="Pass", "Yes")))</f>
        <v/>
      </c>
      <c r="D117" s="103" t="str">
        <f>IF(C118="Yes", "Pass", "Fail")</f>
        <v>Fail</v>
      </c>
      <c r="E117" s="147"/>
      <c r="F117" s="147"/>
    </row>
    <row r="118" spans="1:12" s="49" customFormat="1" ht="59.5" customHeight="1" thickTop="1" thickBot="1" x14ac:dyDescent="0.25">
      <c r="A118" s="40" t="s">
        <v>665</v>
      </c>
      <c r="B118" s="61" t="s">
        <v>245</v>
      </c>
      <c r="C118" s="26" t="s">
        <v>286</v>
      </c>
      <c r="D118" s="98" t="str">
        <f>IF(C118="No",'Supporting Information Required'!C106,IF(C118="Yes",'Supporting Information Required'!D106, ""))</f>
        <v/>
      </c>
      <c r="E118" s="79" t="str">
        <f>IF(C118="No",'Supporting Information Required'!C106,IF(C118="Yes",'Supporting Information Required'!D106,IF(C118="NA","Ok","")))</f>
        <v/>
      </c>
      <c r="F118" s="147"/>
    </row>
    <row r="119" spans="1:12" ht="20" thickTop="1" x14ac:dyDescent="0.2">
      <c r="A119" s="36"/>
      <c r="B119" s="57"/>
      <c r="C119" s="38"/>
      <c r="D119" s="66"/>
      <c r="E119" s="29"/>
      <c r="F119" s="29"/>
    </row>
    <row r="120" spans="1:12" ht="24" x14ac:dyDescent="0.25">
      <c r="A120" s="178" t="s">
        <v>184</v>
      </c>
      <c r="B120" s="178"/>
      <c r="C120" s="178"/>
      <c r="D120" s="48"/>
      <c r="E120" s="47"/>
      <c r="F120" s="47"/>
    </row>
    <row r="121" spans="1:12" ht="20" thickBot="1" x14ac:dyDescent="0.25">
      <c r="A121" s="36"/>
      <c r="B121" s="37"/>
      <c r="C121" s="38"/>
      <c r="D121" s="66"/>
      <c r="E121" s="44"/>
      <c r="F121" s="44"/>
    </row>
    <row r="122" spans="1:12" ht="183.5" customHeight="1" thickTop="1" thickBot="1" x14ac:dyDescent="0.25">
      <c r="A122" s="157" t="s">
        <v>49</v>
      </c>
      <c r="B122" s="39" t="s">
        <v>326</v>
      </c>
      <c r="C122" s="25" t="str">
        <f>IF(C123="&lt;select&gt;", "", IF(D122="Fail", "No", IF(D122="Pass", "Yes")))</f>
        <v/>
      </c>
      <c r="D122" s="90" t="str">
        <f>IF(C123="Yes", "Pass","Fail")</f>
        <v>Fail</v>
      </c>
      <c r="E122" s="147"/>
      <c r="F122" s="147"/>
    </row>
    <row r="123" spans="1:12" s="50" customFormat="1" ht="68.5" customHeight="1" thickTop="1" thickBot="1" x14ac:dyDescent="0.25">
      <c r="A123" s="40" t="s">
        <v>102</v>
      </c>
      <c r="B123" s="61" t="s">
        <v>246</v>
      </c>
      <c r="C123" s="26" t="s">
        <v>286</v>
      </c>
      <c r="D123" s="95" t="str">
        <f>IF(C123="No",'Supporting Information Required'!C111,IF(C123="Yes",'Supporting Information Required'!D111,IF(C123="NA",'Supporting Information Required'!E111,"")))</f>
        <v/>
      </c>
      <c r="E123" s="79" t="str">
        <f>IF(C123="No",'Supporting Information Required'!C111,IF(C123="Yes",'Supporting Information Required'!D111,IF(C123="NA",'Supporting Information Required'!E111,"")))</f>
        <v/>
      </c>
      <c r="F123" s="152" t="str">
        <f>IF(D123="No",'Supporting Information Required'!D111,IF(D123="Yes",'Supporting Information Required'!E111,IF(D123="NA",'Supporting Information Required'!F109,"")))</f>
        <v/>
      </c>
      <c r="G123" s="28"/>
      <c r="H123" s="28"/>
      <c r="I123" s="28"/>
      <c r="J123" s="28"/>
      <c r="K123" s="28"/>
      <c r="L123" s="28"/>
    </row>
    <row r="124" spans="1:12" ht="20" thickTop="1" x14ac:dyDescent="0.2">
      <c r="A124" s="36"/>
      <c r="B124" s="57"/>
      <c r="C124" s="38"/>
      <c r="D124" s="66"/>
      <c r="E124" s="45"/>
      <c r="F124" s="45"/>
    </row>
    <row r="125" spans="1:12" ht="24" x14ac:dyDescent="0.25">
      <c r="A125" s="178" t="s">
        <v>185</v>
      </c>
      <c r="B125" s="178"/>
      <c r="C125" s="178"/>
      <c r="D125" s="48"/>
      <c r="E125" s="47"/>
      <c r="F125" s="47"/>
    </row>
    <row r="126" spans="1:12" ht="20" thickBot="1" x14ac:dyDescent="0.25">
      <c r="A126" s="36"/>
      <c r="B126" s="37"/>
      <c r="C126" s="38"/>
      <c r="D126" s="66"/>
      <c r="E126" s="44"/>
      <c r="F126" s="44"/>
    </row>
    <row r="127" spans="1:12" ht="64" customHeight="1" thickTop="1" thickBot="1" x14ac:dyDescent="0.25">
      <c r="A127" s="159" t="s">
        <v>313</v>
      </c>
      <c r="B127" s="59" t="s">
        <v>363</v>
      </c>
      <c r="C127" s="26" t="s">
        <v>286</v>
      </c>
      <c r="D127" s="98" t="str">
        <f>IF(C127="No",'Supporting Information Required'!C115,IF(C127="Yes",'Supporting Information Required'!D115, ""))</f>
        <v/>
      </c>
      <c r="E127" s="79" t="str">
        <f>IF(C127="No",'Supporting Information Required'!C115,IF(C127="Yes",'Supporting Information Required'!D115,IF(C127="NA","Ok","")))</f>
        <v/>
      </c>
      <c r="F127" s="152" t="str">
        <f>IF(D127="No",'Supporting Information Required'!D115,IF(D127="Yes",'Supporting Information Required'!E115,IF(D127="NA","Ok","")))</f>
        <v/>
      </c>
    </row>
    <row r="128" spans="1:12" ht="155" customHeight="1" thickTop="1" thickBot="1" x14ac:dyDescent="0.25">
      <c r="A128" s="157" t="s">
        <v>51</v>
      </c>
      <c r="B128" s="39" t="s">
        <v>327</v>
      </c>
      <c r="C128" s="25" t="str">
        <f>IF(C129="&lt;select&gt;", "", IF(D128="Fail", "No", IF(D128="Pass", "Yes")))</f>
        <v/>
      </c>
      <c r="D128" s="104" t="str">
        <f>IF(OR(AND(C127="No", C129="N/A"), OR(C129="Yes"), C127="No"), "Pass","Fail")</f>
        <v>Fail</v>
      </c>
      <c r="E128" s="147"/>
      <c r="F128" s="147"/>
    </row>
    <row r="129" spans="1:7" ht="64" customHeight="1" thickTop="1" thickBot="1" x14ac:dyDescent="0.25">
      <c r="A129" s="40" t="s">
        <v>103</v>
      </c>
      <c r="B129" s="59" t="s">
        <v>312</v>
      </c>
      <c r="C129" s="26" t="s">
        <v>286</v>
      </c>
      <c r="D129" s="98" t="str">
        <f>IF(C129="No",'Supporting Information Required'!C117,IF(C129="Yes",'Supporting Information Required'!D117, ""))</f>
        <v/>
      </c>
      <c r="E129" s="79" t="str">
        <f>IF(C129="No",'Supporting Information Required'!C117,IF(C129="Yes",'Supporting Information Required'!D117,IF(C129="N/A","Ok","")))</f>
        <v/>
      </c>
      <c r="F129" s="152" t="str">
        <f>IF(D129="No",'Supporting Information Required'!D117,IF(D129="Yes",'Supporting Information Required'!E117,IF(D129="N/A","Ok","")))</f>
        <v/>
      </c>
    </row>
    <row r="130" spans="1:7" ht="232.5" customHeight="1" thickTop="1" thickBot="1" x14ac:dyDescent="0.25">
      <c r="A130" s="157" t="s">
        <v>52</v>
      </c>
      <c r="B130" s="39" t="s">
        <v>328</v>
      </c>
      <c r="C130" s="25" t="str">
        <f>IF(C131="&lt;select&gt;", "", IF(D130="Fail", "No", IF(D130="Pass", "Yes")))</f>
        <v/>
      </c>
      <c r="D130" s="104" t="str">
        <f>IF(OR(AND(C127="No", C131="N/A"), AND(C131="Yes", E130&lt;&gt;""), C127="No"), "Pass","Fail")</f>
        <v>Fail</v>
      </c>
      <c r="E130" s="147"/>
      <c r="F130" s="147"/>
    </row>
    <row r="131" spans="1:7" s="49" customFormat="1" ht="105.5" customHeight="1" thickTop="1" thickBot="1" x14ac:dyDescent="0.25">
      <c r="A131" s="40" t="s">
        <v>104</v>
      </c>
      <c r="B131" s="59" t="s">
        <v>247</v>
      </c>
      <c r="C131" s="26" t="s">
        <v>286</v>
      </c>
      <c r="D131" s="98" t="str">
        <f>IF(C131="No",'Supporting Information Required'!C119,IF(C131="Yes",'Supporting Information Required'!D119, ""))</f>
        <v/>
      </c>
      <c r="E131" s="79" t="str">
        <f>IF(C131="No",'Supporting Information Required'!C119,IF(C131="Yes",'Supporting Information Required'!D119,IF(C131="N/A","Ok","")))</f>
        <v/>
      </c>
      <c r="F131" s="152" t="str">
        <f>IF(D131="No",'Supporting Information Required'!D119,IF(D131="Yes",'Supporting Information Required'!E119,IF(D131="N/A","Ok","")))</f>
        <v/>
      </c>
    </row>
    <row r="132" spans="1:7" ht="155" customHeight="1" thickTop="1" thickBot="1" x14ac:dyDescent="0.25">
      <c r="A132" s="157" t="s">
        <v>53</v>
      </c>
      <c r="B132" s="39" t="s">
        <v>329</v>
      </c>
      <c r="C132" s="25" t="str">
        <f>IF(C133="&lt;select&gt;", "", IF(D132="Fail", "No", IF(D132="Pass", "Yes")))</f>
        <v/>
      </c>
      <c r="D132" s="104" t="str">
        <f>IF(OR(AND(C127="No", C133="N/A"), OR(C133="Yes"), C127="No"), "Pass","Fail")</f>
        <v>Fail</v>
      </c>
      <c r="E132" s="147"/>
      <c r="F132" s="147"/>
    </row>
    <row r="133" spans="1:7" s="49" customFormat="1" ht="65" customHeight="1" thickTop="1" thickBot="1" x14ac:dyDescent="0.25">
      <c r="A133" s="40" t="s">
        <v>105</v>
      </c>
      <c r="B133" s="61" t="s">
        <v>248</v>
      </c>
      <c r="C133" s="26" t="s">
        <v>286</v>
      </c>
      <c r="D133" s="98" t="str">
        <f>IF(C133="No",'Supporting Information Required'!C121,IF(C133="Yes",'Supporting Information Required'!D121, ""))</f>
        <v/>
      </c>
      <c r="E133" s="79" t="str">
        <f>IF(C133="No",'Supporting Information Required'!C121,IF(C133="Yes",'Supporting Information Required'!D121,IF(C133="N/A","Ok","")))</f>
        <v/>
      </c>
      <c r="F133" s="152" t="str">
        <f>IF(D133="No",'Supporting Information Required'!D121,IF(D133="Yes",'Supporting Information Required'!E121,IF(D133="N/A","Ok","")))</f>
        <v/>
      </c>
      <c r="G133" s="28"/>
    </row>
    <row r="134" spans="1:7" ht="217" customHeight="1" thickTop="1" thickBot="1" x14ac:dyDescent="0.25">
      <c r="A134" s="157" t="s">
        <v>54</v>
      </c>
      <c r="B134" s="39" t="s">
        <v>330</v>
      </c>
      <c r="C134" s="25" t="str">
        <f>IF(C135="&lt;select&gt;", "", IF(D134="Fail", "No", IF(D134="Pass", "Yes")))</f>
        <v/>
      </c>
      <c r="D134" s="104" t="str">
        <f>IF(OR(AND(C127="No", C135="N/A"), OR(C135="Yes"),  C127="No"), "Pass","Fail")</f>
        <v>Fail</v>
      </c>
      <c r="E134" s="147"/>
      <c r="F134" s="147"/>
    </row>
    <row r="135" spans="1:7" ht="62.5" customHeight="1" thickTop="1" thickBot="1" x14ac:dyDescent="0.25">
      <c r="A135" s="40" t="s">
        <v>106</v>
      </c>
      <c r="B135" s="61" t="s">
        <v>249</v>
      </c>
      <c r="C135" s="26" t="s">
        <v>286</v>
      </c>
      <c r="D135" s="98" t="str">
        <f>IF(C135="No",'Supporting Information Required'!C123,IF(C135="Yes",'Supporting Information Required'!D123, ""))</f>
        <v/>
      </c>
      <c r="E135" s="79" t="str">
        <f>IF(C135="No",'Supporting Information Required'!C123,IF(C135="Yes",'Supporting Information Required'!D123,IF(C135="N/A","Ok","")))</f>
        <v/>
      </c>
      <c r="F135" s="152" t="str">
        <f>IF(D135="No",'Supporting Information Required'!D123,IF(D135="Yes",'Supporting Information Required'!E123,IF(D135="N/A","Ok","")))</f>
        <v/>
      </c>
    </row>
    <row r="136" spans="1:7" ht="171" customHeight="1" thickTop="1" thickBot="1" x14ac:dyDescent="0.25">
      <c r="A136" s="157" t="s">
        <v>55</v>
      </c>
      <c r="B136" s="39" t="s">
        <v>331</v>
      </c>
      <c r="C136" s="25" t="str">
        <f>IF(C137="&lt;select&gt;", "", IF(D136="Fail", "No", IF(D136="Pass", "Yes")))</f>
        <v/>
      </c>
      <c r="D136" s="104" t="str">
        <f>IF(OR(AND(C127="No", C137="N/A"), OR(C137="Yes"), C127="No"), "Pass","Fail")</f>
        <v>Fail</v>
      </c>
      <c r="E136" s="147"/>
      <c r="F136" s="147"/>
    </row>
    <row r="137" spans="1:7" s="49" customFormat="1" ht="59" customHeight="1" thickTop="1" thickBot="1" x14ac:dyDescent="0.25">
      <c r="A137" s="40" t="s">
        <v>107</v>
      </c>
      <c r="B137" s="61" t="s">
        <v>250</v>
      </c>
      <c r="C137" s="26" t="s">
        <v>286</v>
      </c>
      <c r="D137" s="98" t="str">
        <f>IF(C137="No",'Supporting Information Required'!C125,IF(C137="Yes",'Supporting Information Required'!D125, ""))</f>
        <v/>
      </c>
      <c r="E137" s="79" t="str">
        <f>IF(C137="No",'Supporting Information Required'!C125,IF(C137="Yes",'Supporting Information Required'!D125,IF(C137="N/A","Ok","")))</f>
        <v/>
      </c>
      <c r="F137" s="152" t="str">
        <f>IF(D137="No",'Supporting Information Required'!D125,IF(D137="Yes",'Supporting Information Required'!E125,IF(D137="N/A","Ok","")))</f>
        <v/>
      </c>
    </row>
    <row r="138" spans="1:7" ht="155" customHeight="1" thickTop="1" thickBot="1" x14ac:dyDescent="0.25">
      <c r="A138" s="157" t="s">
        <v>56</v>
      </c>
      <c r="B138" s="39" t="s">
        <v>186</v>
      </c>
      <c r="C138" s="25" t="str">
        <f>IF(C139="&lt;select&gt;", "", IF(D138="Fail", "No", IF(D138="Pass", "Yes")))</f>
        <v/>
      </c>
      <c r="D138" s="104" t="str">
        <f>IF(OR(AND(C127="No", C139="N/A"), OR(C139="Yes"), C127="No"), "Pass","Fail")</f>
        <v>Fail</v>
      </c>
      <c r="E138" s="147"/>
      <c r="F138" s="147"/>
    </row>
    <row r="139" spans="1:7" s="49" customFormat="1" ht="63" customHeight="1" thickTop="1" thickBot="1" x14ac:dyDescent="0.25">
      <c r="A139" s="40" t="s">
        <v>108</v>
      </c>
      <c r="B139" s="61" t="s">
        <v>251</v>
      </c>
      <c r="C139" s="26" t="s">
        <v>286</v>
      </c>
      <c r="D139" s="98" t="str">
        <f>IF(C139="No",'Supporting Information Required'!C127,IF(C139="Yes",'Supporting Information Required'!D127, ""))</f>
        <v/>
      </c>
      <c r="E139" s="79" t="str">
        <f>IF(C139="No",'Supporting Information Required'!C127,IF(C139="Yes",'Supporting Information Required'!D127,IF(C139="N/A","Ok","")))</f>
        <v/>
      </c>
      <c r="F139" s="152" t="str">
        <f>IF(D139="No",'Supporting Information Required'!D127,IF(D139="Yes",'Supporting Information Required'!E127,IF(D139="N/A","Ok","")))</f>
        <v/>
      </c>
      <c r="G139" s="28"/>
    </row>
    <row r="140" spans="1:7" ht="155" customHeight="1" thickTop="1" thickBot="1" x14ac:dyDescent="0.25">
      <c r="A140" s="157" t="s">
        <v>57</v>
      </c>
      <c r="B140" s="39" t="s">
        <v>332</v>
      </c>
      <c r="C140" s="25" t="str">
        <f>IF(C141="&lt;select&gt;", "", IF(D140="Fail", "No", IF(D140="Pass", "Yes")))</f>
        <v/>
      </c>
      <c r="D140" s="104" t="str">
        <f>IF(OR(AND(C127="No", C141="N/A"), OR(C141="Yes"), C127="No"), "Pass","Fail")</f>
        <v>Fail</v>
      </c>
      <c r="E140" s="147"/>
      <c r="F140" s="147"/>
    </row>
    <row r="141" spans="1:7" ht="62.5" customHeight="1" thickTop="1" thickBot="1" x14ac:dyDescent="0.25">
      <c r="A141" s="40" t="s">
        <v>109</v>
      </c>
      <c r="B141" s="61" t="s">
        <v>252</v>
      </c>
      <c r="C141" s="26" t="s">
        <v>286</v>
      </c>
      <c r="D141" s="98" t="str">
        <f>IF(C141="No",'Supporting Information Required'!C129,IF(C141="Yes",'Supporting Information Required'!D129, ""))</f>
        <v/>
      </c>
      <c r="E141" s="79" t="str">
        <f>IF(C141="No",'Supporting Information Required'!C129,IF(C141="Yes",'Supporting Information Required'!D129,IF(C141="N/A","Ok","")))</f>
        <v/>
      </c>
      <c r="F141" s="152" t="str">
        <f>IF(D141="No",'Supporting Information Required'!D129,IF(D141="Yes",'Supporting Information Required'!E129,IF(D141="N/A","Ok","")))</f>
        <v/>
      </c>
    </row>
    <row r="142" spans="1:7" ht="20" thickTop="1" x14ac:dyDescent="0.2">
      <c r="A142" s="36"/>
      <c r="B142" s="57"/>
      <c r="C142" s="38"/>
      <c r="D142" s="66"/>
      <c r="E142" s="45"/>
      <c r="F142" s="45"/>
    </row>
    <row r="143" spans="1:7" ht="35" customHeight="1" x14ac:dyDescent="0.2">
      <c r="A143" s="34" t="s">
        <v>58</v>
      </c>
      <c r="B143" s="34"/>
      <c r="C143" s="35"/>
      <c r="D143" s="65"/>
      <c r="E143" s="34"/>
      <c r="F143" s="34"/>
    </row>
    <row r="144" spans="1:7" ht="20" thickBot="1" x14ac:dyDescent="0.25">
      <c r="A144" s="36"/>
      <c r="B144" s="37"/>
      <c r="C144" s="38"/>
      <c r="D144" s="66"/>
      <c r="E144" s="44"/>
      <c r="F144" s="44"/>
    </row>
    <row r="145" spans="1:6" ht="68" customHeight="1" thickTop="1" thickBot="1" x14ac:dyDescent="0.25">
      <c r="A145" s="159" t="s">
        <v>339</v>
      </c>
      <c r="B145" s="59" t="s">
        <v>333</v>
      </c>
      <c r="C145" s="26" t="s">
        <v>286</v>
      </c>
      <c r="D145" s="98" t="str">
        <f>IF(C145="No",'Supporting Information Required'!C133,IF(C145="Yes",'Supporting Information Required'!D133, ""))</f>
        <v/>
      </c>
      <c r="E145" s="79" t="str">
        <f>IF(C145="No",'Supporting Information Required'!C133,IF(C145="Yes",'Supporting Information Required'!D133,IF(C145="NA","Ok","")))</f>
        <v/>
      </c>
      <c r="F145" s="147"/>
    </row>
    <row r="146" spans="1:6" ht="155" customHeight="1" thickTop="1" thickBot="1" x14ac:dyDescent="0.25">
      <c r="A146" s="64" t="s">
        <v>59</v>
      </c>
      <c r="B146" s="39" t="s">
        <v>187</v>
      </c>
      <c r="C146" s="25" t="str">
        <f>IF(C147="&lt;select&gt;", "", IF(D146="Fail", "No", IF(D146="Pass", "Yes")))</f>
        <v/>
      </c>
      <c r="D146" s="104" t="str">
        <f>IF(OR(AND(C145="No", C147="N/A"), OR(C147="Yes"), C145="No"), "Pass","Fail")</f>
        <v>Fail</v>
      </c>
      <c r="E146" s="147"/>
      <c r="F146" s="147"/>
    </row>
    <row r="147" spans="1:6" ht="49" customHeight="1" thickTop="1" thickBot="1" x14ac:dyDescent="0.25">
      <c r="A147" s="40" t="s">
        <v>110</v>
      </c>
      <c r="B147" s="59" t="s">
        <v>335</v>
      </c>
      <c r="C147" s="26" t="s">
        <v>286</v>
      </c>
      <c r="D147" s="98" t="str">
        <f>IF(C147="No",'Supporting Information Required'!C135,IF(C147="Yes",'Supporting Information Required'!D135, ""))</f>
        <v/>
      </c>
      <c r="E147" s="79" t="str">
        <f>IF(C147="No",'Supporting Information Required'!C135,IF(C147="Yes",'Supporting Information Required'!D135,IF(C147="NA","Ok","")))</f>
        <v/>
      </c>
      <c r="F147" s="147"/>
    </row>
    <row r="148" spans="1:6" ht="155" customHeight="1" thickTop="1" thickBot="1" x14ac:dyDescent="0.25">
      <c r="A148" s="157" t="s">
        <v>60</v>
      </c>
      <c r="B148" s="39" t="s">
        <v>61</v>
      </c>
      <c r="C148" s="25" t="str">
        <f>IF(C149="&lt;select&gt;", "", IF(D148="Fail", "No", IF(D148="Pass", "Yes")))</f>
        <v/>
      </c>
      <c r="D148" s="104" t="str">
        <f>IF(OR(AND(C147="No", C149="N/A"), OR(C149="Yes"), C145="No"), "Pass","Fail")</f>
        <v>Fail</v>
      </c>
      <c r="E148" s="147"/>
      <c r="F148" s="147"/>
    </row>
    <row r="149" spans="1:6" s="49" customFormat="1" ht="80.5" customHeight="1" thickTop="1" thickBot="1" x14ac:dyDescent="0.25">
      <c r="A149" s="40" t="s">
        <v>111</v>
      </c>
      <c r="B149" s="61" t="s">
        <v>253</v>
      </c>
      <c r="C149" s="26" t="s">
        <v>286</v>
      </c>
      <c r="D149" s="96" t="str">
        <f>IF(C149="No",'Supporting Information Required'!C137,IF(C149="Yes",'Supporting Information Required'!D137,IF(C149="NA",'Supporting Information Required'!E137,"")))</f>
        <v/>
      </c>
      <c r="E149" s="79" t="str">
        <f>IF(C149="No",'Supporting Information Required'!C137,IF(C149="Yes",'Supporting Information Required'!D137,IF(C149="NA",'Supporting Information Required'!E137,"")))</f>
        <v/>
      </c>
      <c r="F149" s="147"/>
    </row>
    <row r="150" spans="1:6" ht="155" customHeight="1" thickTop="1" thickBot="1" x14ac:dyDescent="0.25">
      <c r="A150" s="157" t="s">
        <v>62</v>
      </c>
      <c r="B150" s="39" t="s">
        <v>63</v>
      </c>
      <c r="C150" s="25" t="str">
        <f>IF(C151="&lt;select&gt;", "", IF(D150="Fail", "No", IF(D150="Pass", "Yes")))</f>
        <v/>
      </c>
      <c r="D150" s="104" t="str">
        <f>IF(OR(AND(C149="No", C151="N/A"), OR(C151="Yes"), C145="No"), "Pass","Fail")</f>
        <v>Fail</v>
      </c>
      <c r="E150" s="147"/>
      <c r="F150" s="147"/>
    </row>
    <row r="151" spans="1:6" ht="91.5" customHeight="1" thickTop="1" thickBot="1" x14ac:dyDescent="0.25">
      <c r="A151" s="40" t="s">
        <v>112</v>
      </c>
      <c r="B151" s="63" t="s">
        <v>254</v>
      </c>
      <c r="C151" s="26" t="s">
        <v>286</v>
      </c>
      <c r="D151" s="95" t="str">
        <f>IF(C151="No",'Supporting Information Required'!C139,IF(C151="Yes",'Supporting Information Required'!D139,IF(C151="NA",'Supporting Information Required'!E139,"")))</f>
        <v/>
      </c>
      <c r="E151" s="79" t="str">
        <f>IF(C151="No",'Supporting Information Required'!C139,IF(C151="Yes",'Supporting Information Required'!D139,IF(C151="NA",'Supporting Information Required'!E139,"")))</f>
        <v/>
      </c>
      <c r="F151" s="147"/>
    </row>
    <row r="152" spans="1:6" ht="20" thickTop="1" x14ac:dyDescent="0.2">
      <c r="A152" s="36"/>
      <c r="B152" s="57"/>
      <c r="C152" s="38"/>
      <c r="D152" s="66"/>
      <c r="E152" s="29"/>
      <c r="F152" s="29"/>
    </row>
    <row r="153" spans="1:6" ht="70" customHeight="1" x14ac:dyDescent="0.2">
      <c r="A153" s="34" t="s">
        <v>64</v>
      </c>
      <c r="B153" s="34"/>
      <c r="C153" s="35"/>
      <c r="D153" s="65"/>
      <c r="E153" s="34"/>
      <c r="F153" s="34"/>
    </row>
    <row r="154" spans="1:6" ht="20" thickBot="1" x14ac:dyDescent="0.25">
      <c r="A154" s="36"/>
      <c r="B154" s="37"/>
      <c r="C154" s="38"/>
      <c r="D154" s="66"/>
      <c r="E154" s="44"/>
      <c r="F154" s="44"/>
    </row>
    <row r="155" spans="1:6" ht="175" customHeight="1" thickTop="1" thickBot="1" x14ac:dyDescent="0.25">
      <c r="A155" s="157" t="s">
        <v>65</v>
      </c>
      <c r="B155" s="39" t="s">
        <v>188</v>
      </c>
      <c r="C155" s="25" t="str">
        <f>IF(C156="&lt;select&gt;", "", IF(D155="Fail", "No", IF(D155="Pass", "Yes")))</f>
        <v/>
      </c>
      <c r="D155" s="104" t="str">
        <f>IF(OR(C156="No",AND(C156="Yes", C157="Yes") ), "Pass","Fail")</f>
        <v>Fail</v>
      </c>
      <c r="E155" s="147"/>
      <c r="F155" s="147"/>
    </row>
    <row r="156" spans="1:6" ht="79" customHeight="1" thickTop="1" thickBot="1" x14ac:dyDescent="0.25">
      <c r="A156" s="40" t="s">
        <v>113</v>
      </c>
      <c r="B156" s="120" t="s">
        <v>255</v>
      </c>
      <c r="C156" s="26" t="s">
        <v>286</v>
      </c>
      <c r="D156" s="98" t="str">
        <f>IF(C156="No",'Supporting Information Required'!C144,IF(C156="Yes",'Supporting Information Required'!D144, ""))</f>
        <v/>
      </c>
      <c r="E156" s="79" t="str">
        <f>IF(C156="No",'Supporting Information Required'!C144,IF(C156="Yes",'Supporting Information Required'!D144,IF(C149="NA",'Supporting Information Required'!E144,"")))</f>
        <v/>
      </c>
      <c r="F156" s="147"/>
    </row>
    <row r="157" spans="1:6" ht="79" customHeight="1" thickTop="1" thickBot="1" x14ac:dyDescent="0.25">
      <c r="A157" s="40" t="s">
        <v>336</v>
      </c>
      <c r="B157" s="61" t="s">
        <v>337</v>
      </c>
      <c r="C157" s="121" t="s">
        <v>286</v>
      </c>
      <c r="D157" s="98" t="str">
        <f>IF(C157="No",'Supporting Information Required'!C145,IF(C157="Yes",'Supporting Information Required'!D145, ""))</f>
        <v/>
      </c>
      <c r="E157" s="122" t="str">
        <f>IF(C157="No",'Supporting Information Required'!C145,IF(C157="Yes",'Supporting Information Required'!D145,IF(C156="NA",'Supporting Information Required'!E145,"")))</f>
        <v/>
      </c>
      <c r="F157" s="147"/>
    </row>
    <row r="158" spans="1:6" ht="20" thickTop="1" x14ac:dyDescent="0.2">
      <c r="A158" s="36"/>
      <c r="B158" s="57"/>
      <c r="C158" s="38"/>
      <c r="D158" s="66"/>
      <c r="E158" s="29"/>
    </row>
    <row r="159" spans="1:6" ht="59" customHeight="1" thickBot="1" x14ac:dyDescent="0.25">
      <c r="A159" s="34" t="s">
        <v>315</v>
      </c>
      <c r="B159" s="34"/>
      <c r="C159" s="35"/>
      <c r="D159" s="65"/>
      <c r="E159" s="28"/>
    </row>
    <row r="160" spans="1:6" ht="28" customHeight="1" thickTop="1" thickBot="1" x14ac:dyDescent="0.3">
      <c r="A160" s="31" t="s">
        <v>0</v>
      </c>
      <c r="B160" s="32" t="s">
        <v>318</v>
      </c>
      <c r="C160" s="114" t="s">
        <v>317</v>
      </c>
      <c r="D160" s="113"/>
      <c r="E160" s="28"/>
    </row>
    <row r="161" spans="1:5" ht="63" customHeight="1" thickTop="1" thickBot="1" x14ac:dyDescent="0.25">
      <c r="A161" s="118" t="s">
        <v>316</v>
      </c>
      <c r="B161" s="116" t="s">
        <v>320</v>
      </c>
      <c r="C161" s="117"/>
      <c r="D161" s="51"/>
      <c r="E161" s="28"/>
    </row>
    <row r="162" spans="1:5" ht="57.5" customHeight="1" thickTop="1" thickBot="1" x14ac:dyDescent="0.3">
      <c r="A162" s="40" t="s">
        <v>319</v>
      </c>
      <c r="B162" s="116" t="s">
        <v>321</v>
      </c>
      <c r="C162" s="117"/>
    </row>
    <row r="163" spans="1:5" ht="49.5" customHeight="1" thickTop="1" thickBot="1" x14ac:dyDescent="0.3">
      <c r="A163" s="40" t="s">
        <v>347</v>
      </c>
      <c r="B163" s="116" t="s">
        <v>358</v>
      </c>
      <c r="C163" s="117"/>
    </row>
    <row r="164" spans="1:5" ht="49.5" customHeight="1" thickTop="1" thickBot="1" x14ac:dyDescent="0.3">
      <c r="A164" s="40" t="s">
        <v>356</v>
      </c>
      <c r="B164" s="116" t="s">
        <v>359</v>
      </c>
      <c r="C164" s="117"/>
    </row>
    <row r="165" spans="1:5" ht="60" customHeight="1" thickTop="1" thickBot="1" x14ac:dyDescent="0.3">
      <c r="A165" s="40" t="s">
        <v>357</v>
      </c>
      <c r="B165" s="116" t="s">
        <v>360</v>
      </c>
      <c r="C165" s="117"/>
    </row>
    <row r="166" spans="1:5" ht="155" customHeight="1" thickTop="1" x14ac:dyDescent="0.25"/>
  </sheetData>
  <sheetProtection deleteColumns="0" deleteRows="0" selectLockedCells="1"/>
  <mergeCells count="11">
    <mergeCell ref="A96:C96"/>
    <mergeCell ref="A104:C104"/>
    <mergeCell ref="A120:C120"/>
    <mergeCell ref="A125:C125"/>
    <mergeCell ref="A1:E1"/>
    <mergeCell ref="A31:C31"/>
    <mergeCell ref="A50:C50"/>
    <mergeCell ref="A83:C83"/>
    <mergeCell ref="A88:C88"/>
    <mergeCell ref="E31:F31"/>
    <mergeCell ref="A32:F32"/>
  </mergeCells>
  <phoneticPr fontId="18" type="noConversion"/>
  <conditionalFormatting sqref="D21 D29">
    <cfRule type="expression" dxfId="296" priority="837" stopIfTrue="1">
      <formula>$C21="No"</formula>
    </cfRule>
    <cfRule type="expression" dxfId="295" priority="836" stopIfTrue="1">
      <formula>$C21="Yes"</formula>
    </cfRule>
    <cfRule type="expression" dxfId="294" priority="835" stopIfTrue="1">
      <formula>$C21="NA"</formula>
    </cfRule>
  </conditionalFormatting>
  <conditionalFormatting sqref="D26:D27">
    <cfRule type="expression" dxfId="293" priority="834" stopIfTrue="1">
      <formula>$C26="No"</formula>
    </cfRule>
    <cfRule type="expression" dxfId="292" priority="833" stopIfTrue="1">
      <formula>$C26="Yes"</formula>
    </cfRule>
    <cfRule type="expression" dxfId="291" priority="832" stopIfTrue="1">
      <formula>$C26="NA"</formula>
    </cfRule>
  </conditionalFormatting>
  <conditionalFormatting sqref="D37">
    <cfRule type="expression" dxfId="290" priority="1155" stopIfTrue="1">
      <formula>$C37="Yes"</formula>
    </cfRule>
    <cfRule type="expression" dxfId="289" priority="1154" stopIfTrue="1">
      <formula>$C37="No"</formula>
    </cfRule>
  </conditionalFormatting>
  <conditionalFormatting sqref="D39">
    <cfRule type="expression" dxfId="288" priority="1259" stopIfTrue="1">
      <formula>$C39="Yes"</formula>
    </cfRule>
    <cfRule type="expression" dxfId="287" priority="1294" stopIfTrue="1">
      <formula>$C39="No"</formula>
    </cfRule>
  </conditionalFormatting>
  <conditionalFormatting sqref="D53">
    <cfRule type="expression" dxfId="286" priority="822" stopIfTrue="1">
      <formula>$C53="No"</formula>
    </cfRule>
    <cfRule type="expression" dxfId="285" priority="821" stopIfTrue="1">
      <formula>$C53="Yes"</formula>
    </cfRule>
    <cfRule type="expression" dxfId="284" priority="820" stopIfTrue="1">
      <formula>$C53="NA"</formula>
    </cfRule>
  </conditionalFormatting>
  <conditionalFormatting sqref="D55:D58">
    <cfRule type="expression" dxfId="283" priority="816" stopIfTrue="1">
      <formula>$C55="No"</formula>
    </cfRule>
    <cfRule type="expression" dxfId="282" priority="814" stopIfTrue="1">
      <formula>$C55="NA"</formula>
    </cfRule>
    <cfRule type="expression" dxfId="281" priority="815" stopIfTrue="1">
      <formula>$C55="Yes"</formula>
    </cfRule>
  </conditionalFormatting>
  <conditionalFormatting sqref="D60">
    <cfRule type="expression" dxfId="280" priority="808" stopIfTrue="1">
      <formula>$C60="NA"</formula>
    </cfRule>
    <cfRule type="expression" dxfId="279" priority="810" stopIfTrue="1">
      <formula>$C60="No"</formula>
    </cfRule>
    <cfRule type="expression" dxfId="278" priority="809" stopIfTrue="1">
      <formula>$C60="Yes"</formula>
    </cfRule>
  </conditionalFormatting>
  <conditionalFormatting sqref="D62">
    <cfRule type="expression" dxfId="277" priority="804" stopIfTrue="1">
      <formula>$C62="No"</formula>
    </cfRule>
    <cfRule type="expression" dxfId="276" priority="803" stopIfTrue="1">
      <formula>$C62="Yes"</formula>
    </cfRule>
    <cfRule type="expression" dxfId="275" priority="802" stopIfTrue="1">
      <formula>$C62="NA"</formula>
    </cfRule>
  </conditionalFormatting>
  <conditionalFormatting sqref="D74">
    <cfRule type="expression" dxfId="274" priority="798" stopIfTrue="1">
      <formula>$C74="No"</formula>
    </cfRule>
    <cfRule type="expression" dxfId="273" priority="797" stopIfTrue="1">
      <formula>$C74="Yes"</formula>
    </cfRule>
    <cfRule type="expression" dxfId="272" priority="796" stopIfTrue="1">
      <formula>$C74="NA"</formula>
    </cfRule>
  </conditionalFormatting>
  <conditionalFormatting sqref="D76">
    <cfRule type="expression" dxfId="271" priority="792" stopIfTrue="1">
      <formula>$C76="No"</formula>
    </cfRule>
    <cfRule type="expression" dxfId="270" priority="791" stopIfTrue="1">
      <formula>$C76="Yes"</formula>
    </cfRule>
    <cfRule type="expression" dxfId="269" priority="790" stopIfTrue="1">
      <formula>$C76="NA"</formula>
    </cfRule>
  </conditionalFormatting>
  <conditionalFormatting sqref="D113">
    <cfRule type="expression" dxfId="268" priority="788" stopIfTrue="1">
      <formula>$C113="No"</formula>
    </cfRule>
    <cfRule type="expression" dxfId="267" priority="787" stopIfTrue="1">
      <formula>$C113="Yes"</formula>
    </cfRule>
    <cfRule type="expression" dxfId="266" priority="786" stopIfTrue="1">
      <formula>$C113="NA"</formula>
    </cfRule>
  </conditionalFormatting>
  <conditionalFormatting sqref="D123">
    <cfRule type="expression" dxfId="265" priority="784" stopIfTrue="1">
      <formula>$C123="No"</formula>
    </cfRule>
    <cfRule type="expression" dxfId="264" priority="783" stopIfTrue="1">
      <formula>$C123="Yes"</formula>
    </cfRule>
    <cfRule type="expression" dxfId="263" priority="782" stopIfTrue="1">
      <formula>$C123="NA"</formula>
    </cfRule>
  </conditionalFormatting>
  <conditionalFormatting sqref="D149">
    <cfRule type="expression" dxfId="262" priority="774" stopIfTrue="1">
      <formula>$C149="No"</formula>
    </cfRule>
    <cfRule type="expression" dxfId="261" priority="772" stopIfTrue="1">
      <formula>$C149="NA"</formula>
    </cfRule>
    <cfRule type="expression" dxfId="260" priority="773" stopIfTrue="1">
      <formula>$C149="Yes"</formula>
    </cfRule>
  </conditionalFormatting>
  <conditionalFormatting sqref="D151">
    <cfRule type="expression" dxfId="259" priority="768" stopIfTrue="1">
      <formula>$C151="NA"</formula>
    </cfRule>
    <cfRule type="expression" dxfId="258" priority="770" stopIfTrue="1">
      <formula>$C151="No"</formula>
    </cfRule>
    <cfRule type="expression" dxfId="257" priority="769" stopIfTrue="1">
      <formula>$C151="Yes"</formula>
    </cfRule>
  </conditionalFormatting>
  <conditionalFormatting sqref="D65:E65">
    <cfRule type="expression" dxfId="256" priority="1147" stopIfTrue="1">
      <formula>$C65="No"</formula>
    </cfRule>
  </conditionalFormatting>
  <conditionalFormatting sqref="E7">
    <cfRule type="expression" dxfId="255" priority="11" stopIfTrue="1">
      <formula>$C7="Yes"</formula>
    </cfRule>
    <cfRule type="expression" dxfId="254" priority="12" stopIfTrue="1">
      <formula>$C7="No"</formula>
    </cfRule>
  </conditionalFormatting>
  <conditionalFormatting sqref="E9">
    <cfRule type="expression" dxfId="253" priority="1" stopIfTrue="1">
      <formula>$C9="Yes"</formula>
    </cfRule>
    <cfRule type="expression" dxfId="252" priority="2" stopIfTrue="1">
      <formula>$C9="No"</formula>
    </cfRule>
  </conditionalFormatting>
  <conditionalFormatting sqref="E12">
    <cfRule type="expression" dxfId="251" priority="761" stopIfTrue="1">
      <formula>$C12="No"</formula>
    </cfRule>
    <cfRule type="expression" dxfId="250" priority="760" stopIfTrue="1">
      <formula>$C12="Yes"</formula>
    </cfRule>
  </conditionalFormatting>
  <conditionalFormatting sqref="E14:E16">
    <cfRule type="expression" dxfId="249" priority="13" stopIfTrue="1">
      <formula>$C14="NA"</formula>
    </cfRule>
    <cfRule type="expression" dxfId="248" priority="15" stopIfTrue="1">
      <formula>$C14="No"</formula>
    </cfRule>
    <cfRule type="expression" dxfId="247" priority="14" stopIfTrue="1">
      <formula>$C14="Yes"</formula>
    </cfRule>
  </conditionalFormatting>
  <conditionalFormatting sqref="E17">
    <cfRule type="expression" dxfId="246" priority="986" stopIfTrue="1">
      <formula>$C17="Yes"</formula>
    </cfRule>
    <cfRule type="expression" dxfId="245" priority="987" stopIfTrue="1">
      <formula>$C17="No"</formula>
    </cfRule>
  </conditionalFormatting>
  <conditionalFormatting sqref="E21">
    <cfRule type="expression" dxfId="244" priority="1039" stopIfTrue="1">
      <formula>$C21="No"</formula>
    </cfRule>
    <cfRule type="expression" dxfId="243" priority="839" stopIfTrue="1">
      <formula>$C21="NA"</formula>
    </cfRule>
    <cfRule type="expression" dxfId="242" priority="1038" stopIfTrue="1">
      <formula>$C21="Yes"</formula>
    </cfRule>
  </conditionalFormatting>
  <conditionalFormatting sqref="E26:E27">
    <cfRule type="expression" dxfId="241" priority="699" stopIfTrue="1">
      <formula>$C26="NA"</formula>
    </cfRule>
    <cfRule type="expression" dxfId="240" priority="700" stopIfTrue="1">
      <formula>$C26="Yes"</formula>
    </cfRule>
    <cfRule type="expression" dxfId="239" priority="701" stopIfTrue="1">
      <formula>$C26="No"</formula>
    </cfRule>
  </conditionalFormatting>
  <conditionalFormatting sqref="E29 E91:E92">
    <cfRule type="expression" dxfId="238" priority="694" stopIfTrue="1">
      <formula>$C29="Yes"</formula>
    </cfRule>
    <cfRule type="expression" dxfId="237" priority="695" stopIfTrue="1">
      <formula>$C29="No"</formula>
    </cfRule>
    <cfRule type="expression" dxfId="236" priority="693" stopIfTrue="1">
      <formula>$C29="Not-Applicable"</formula>
    </cfRule>
  </conditionalFormatting>
  <conditionalFormatting sqref="E30:E31">
    <cfRule type="expression" dxfId="235" priority="752" stopIfTrue="1">
      <formula>$C30="Yes"</formula>
    </cfRule>
    <cfRule type="expression" dxfId="234" priority="753" stopIfTrue="1">
      <formula>$C30="No"</formula>
    </cfRule>
  </conditionalFormatting>
  <conditionalFormatting sqref="E34 E36">
    <cfRule type="expression" dxfId="233" priority="152" stopIfTrue="1">
      <formula>$C34="Yes"</formula>
    </cfRule>
    <cfRule type="expression" dxfId="232" priority="153" stopIfTrue="1">
      <formula>$C34="No"</formula>
    </cfRule>
  </conditionalFormatting>
  <conditionalFormatting sqref="E35">
    <cfRule type="expression" dxfId="231" priority="688" stopIfTrue="1">
      <formula>$C35="No"</formula>
    </cfRule>
    <cfRule type="expression" dxfId="230" priority="689" stopIfTrue="1">
      <formula>$C35="Yes"</formula>
    </cfRule>
  </conditionalFormatting>
  <conditionalFormatting sqref="E37">
    <cfRule type="expression" dxfId="229" priority="683" stopIfTrue="1">
      <formula>$C37="Yes"</formula>
    </cfRule>
    <cfRule type="expression" dxfId="228" priority="682" stopIfTrue="1">
      <formula>$C37="No"</formula>
    </cfRule>
    <cfRule type="expression" dxfId="227" priority="139" stopIfTrue="1">
      <formula>$C37="NA"</formula>
    </cfRule>
  </conditionalFormatting>
  <conditionalFormatting sqref="E39">
    <cfRule type="expression" dxfId="226" priority="680" stopIfTrue="1">
      <formula>$C39="No"</formula>
    </cfRule>
    <cfRule type="expression" dxfId="225" priority="679" stopIfTrue="1">
      <formula>$C39="Yes"</formula>
    </cfRule>
    <cfRule type="expression" dxfId="224" priority="678" stopIfTrue="1">
      <formula>$C39="NA"</formula>
    </cfRule>
  </conditionalFormatting>
  <conditionalFormatting sqref="E40">
    <cfRule type="expression" dxfId="223" priority="749" stopIfTrue="1">
      <formula>$C40="No"</formula>
    </cfRule>
    <cfRule type="expression" dxfId="222" priority="748" stopIfTrue="1">
      <formula>$C40="Yes"</formula>
    </cfRule>
  </conditionalFormatting>
  <conditionalFormatting sqref="E53 E55:E58 E60 E62:E63">
    <cfRule type="expression" dxfId="221" priority="93" stopIfTrue="1">
      <formula>$C53="No"</formula>
    </cfRule>
  </conditionalFormatting>
  <conditionalFormatting sqref="E53 E55:E58 E60 E62:E64">
    <cfRule type="expression" dxfId="220" priority="92" stopIfTrue="1">
      <formula>$C53="Yes"</formula>
    </cfRule>
    <cfRule type="expression" dxfId="219" priority="91" stopIfTrue="1">
      <formula>$C53="NA"</formula>
    </cfRule>
  </conditionalFormatting>
  <conditionalFormatting sqref="E64">
    <cfRule type="expression" dxfId="218" priority="647" stopIfTrue="1">
      <formula>$C64="No"</formula>
    </cfRule>
  </conditionalFormatting>
  <conditionalFormatting sqref="E66">
    <cfRule type="expression" dxfId="217" priority="523" stopIfTrue="1">
      <formula>$C66="Temporary"</formula>
    </cfRule>
    <cfRule type="expression" dxfId="216" priority="522" stopIfTrue="1">
      <formula>$C66="Static"</formula>
    </cfRule>
    <cfRule type="expression" dxfId="215" priority="524" stopIfTrue="1">
      <formula>$C66="N/A"</formula>
    </cfRule>
  </conditionalFormatting>
  <conditionalFormatting sqref="E68 E70 E72 E74:E76">
    <cfRule type="expression" dxfId="214" priority="61" stopIfTrue="1">
      <formula>$C68="NA"</formula>
    </cfRule>
  </conditionalFormatting>
  <conditionalFormatting sqref="E68 E70 E72">
    <cfRule type="expression" dxfId="213" priority="65" stopIfTrue="1">
      <formula>$C68="Yes"</formula>
    </cfRule>
    <cfRule type="expression" dxfId="212" priority="66" stopIfTrue="1">
      <formula>$C68="No"</formula>
    </cfRule>
  </conditionalFormatting>
  <conditionalFormatting sqref="E74">
    <cfRule type="expression" dxfId="211" priority="635" stopIfTrue="1">
      <formula>$C74="No"</formula>
    </cfRule>
    <cfRule type="expression" dxfId="210" priority="634" stopIfTrue="1">
      <formula>$C74="Yes"</formula>
    </cfRule>
  </conditionalFormatting>
  <conditionalFormatting sqref="E75:E76">
    <cfRule type="expression" dxfId="209" priority="62" stopIfTrue="1">
      <formula>$C75="Yes"</formula>
    </cfRule>
    <cfRule type="expression" dxfId="208" priority="63" stopIfTrue="1">
      <formula>$C75="No"</formula>
    </cfRule>
  </conditionalFormatting>
  <conditionalFormatting sqref="E78">
    <cfRule type="expression" dxfId="207" priority="629" stopIfTrue="1">
      <formula>$C78="No"</formula>
    </cfRule>
    <cfRule type="expression" dxfId="206" priority="628" stopIfTrue="1">
      <formula>$C78="Yes"</formula>
    </cfRule>
    <cfRule type="expression" dxfId="205" priority="627" stopIfTrue="1">
      <formula>$C78="NA"</formula>
    </cfRule>
  </conditionalFormatting>
  <conditionalFormatting sqref="E80">
    <cfRule type="expression" dxfId="204" priority="6">
      <formula>$C$80="No"</formula>
    </cfRule>
    <cfRule type="expression" dxfId="203" priority="5">
      <formula>$C$80="Yes"</formula>
    </cfRule>
  </conditionalFormatting>
  <conditionalFormatting sqref="E81">
    <cfRule type="expression" dxfId="202" priority="3">
      <formula>$C$81="No"</formula>
    </cfRule>
    <cfRule type="expression" dxfId="201" priority="4">
      <formula>$C$81="Yes"</formula>
    </cfRule>
  </conditionalFormatting>
  <conditionalFormatting sqref="E86">
    <cfRule type="expression" dxfId="200" priority="620" stopIfTrue="1">
      <formula>$C86="No"</formula>
    </cfRule>
    <cfRule type="expression" dxfId="199" priority="619" stopIfTrue="1">
      <formula>$C86="Yes"</formula>
    </cfRule>
    <cfRule type="expression" dxfId="198" priority="618" stopIfTrue="1">
      <formula>$C86="NA"</formula>
    </cfRule>
  </conditionalFormatting>
  <conditionalFormatting sqref="E94">
    <cfRule type="expression" dxfId="197" priority="607" stopIfTrue="1">
      <formula>$C94="Yes"</formula>
    </cfRule>
    <cfRule type="expression" dxfId="196" priority="608" stopIfTrue="1">
      <formula>$C94="No"</formula>
    </cfRule>
    <cfRule type="expression" dxfId="195" priority="606" stopIfTrue="1">
      <formula>$C94="NA"</formula>
    </cfRule>
  </conditionalFormatting>
  <conditionalFormatting sqref="E99">
    <cfRule type="expression" dxfId="194" priority="604" stopIfTrue="1">
      <formula>$C99="Yes"</formula>
    </cfRule>
    <cfRule type="expression" dxfId="193" priority="603" stopIfTrue="1">
      <formula>$C99="NA"</formula>
    </cfRule>
    <cfRule type="expression" dxfId="192" priority="605" stopIfTrue="1">
      <formula>$C99="No"</formula>
    </cfRule>
  </conditionalFormatting>
  <conditionalFormatting sqref="E101:E102">
    <cfRule type="expression" dxfId="191" priority="521" stopIfTrue="1">
      <formula>$C101="No"</formula>
    </cfRule>
    <cfRule type="expression" dxfId="190" priority="520" stopIfTrue="1">
      <formula>$C101="Yes"</formula>
    </cfRule>
    <cfRule type="expression" dxfId="189" priority="519" stopIfTrue="1">
      <formula>$C101="NA"</formula>
    </cfRule>
  </conditionalFormatting>
  <conditionalFormatting sqref="E107">
    <cfRule type="expression" dxfId="188" priority="599" stopIfTrue="1">
      <formula>$C107="No"</formula>
    </cfRule>
    <cfRule type="expression" dxfId="187" priority="597" stopIfTrue="1">
      <formula>$C107="NA"</formula>
    </cfRule>
    <cfRule type="expression" dxfId="186" priority="598" stopIfTrue="1">
      <formula>$C107="Yes"</formula>
    </cfRule>
  </conditionalFormatting>
  <conditionalFormatting sqref="E109">
    <cfRule type="expression" dxfId="185" priority="594" stopIfTrue="1">
      <formula>$C109="NA"</formula>
    </cfRule>
    <cfRule type="expression" dxfId="184" priority="595" stopIfTrue="1">
      <formula>$C109="Yes"</formula>
    </cfRule>
    <cfRule type="expression" dxfId="183" priority="596" stopIfTrue="1">
      <formula>$C109="No"</formula>
    </cfRule>
  </conditionalFormatting>
  <conditionalFormatting sqref="E115">
    <cfRule type="expression" dxfId="182" priority="587" stopIfTrue="1">
      <formula>$C115="No"</formula>
    </cfRule>
  </conditionalFormatting>
  <conditionalFormatting sqref="E115:E116">
    <cfRule type="expression" dxfId="181" priority="517" stopIfTrue="1">
      <formula>$C115="Yes"</formula>
    </cfRule>
  </conditionalFormatting>
  <conditionalFormatting sqref="E116">
    <cfRule type="expression" dxfId="180" priority="518" stopIfTrue="1">
      <formula>$C116="No"</formula>
    </cfRule>
  </conditionalFormatting>
  <conditionalFormatting sqref="E145">
    <cfRule type="expression" dxfId="179" priority="484" stopIfTrue="1">
      <formula>$C145="NA"</formula>
    </cfRule>
    <cfRule type="expression" dxfId="178" priority="485" stopIfTrue="1">
      <formula>$C145="Yes"</formula>
    </cfRule>
    <cfRule type="expression" dxfId="177" priority="486" stopIfTrue="1">
      <formula>$C145="No"</formula>
    </cfRule>
  </conditionalFormatting>
  <conditionalFormatting sqref="E147">
    <cfRule type="expression" dxfId="176" priority="550" stopIfTrue="1">
      <formula>$C147="Yes"</formula>
    </cfRule>
    <cfRule type="expression" dxfId="175" priority="549" stopIfTrue="1">
      <formula>$C147="NA"</formula>
    </cfRule>
    <cfRule type="expression" dxfId="174" priority="551" stopIfTrue="1">
      <formula>$C147="No"</formula>
    </cfRule>
  </conditionalFormatting>
  <conditionalFormatting sqref="E149">
    <cfRule type="expression" dxfId="173" priority="548" stopIfTrue="1">
      <formula>$C149="No"</formula>
    </cfRule>
    <cfRule type="expression" dxfId="172" priority="546" stopIfTrue="1">
      <formula>$C149="NA"</formula>
    </cfRule>
    <cfRule type="expression" dxfId="171" priority="547" stopIfTrue="1">
      <formula>$C149="Yes"</formula>
    </cfRule>
  </conditionalFormatting>
  <conditionalFormatting sqref="E151">
    <cfRule type="expression" dxfId="170" priority="545" stopIfTrue="1">
      <formula>$C151="No"</formula>
    </cfRule>
    <cfRule type="expression" dxfId="169" priority="543" stopIfTrue="1">
      <formula>$C151="NA"</formula>
    </cfRule>
    <cfRule type="expression" dxfId="168" priority="544" stopIfTrue="1">
      <formula>$C151="Yes"</formula>
    </cfRule>
  </conditionalFormatting>
  <conditionalFormatting sqref="E156">
    <cfRule type="expression" dxfId="167" priority="542" stopIfTrue="1">
      <formula>$C156="No"</formula>
    </cfRule>
  </conditionalFormatting>
  <conditionalFormatting sqref="E156:E157">
    <cfRule type="expression" dxfId="166" priority="482" stopIfTrue="1">
      <formula>$C156="Yes"</formula>
    </cfRule>
    <cfRule type="expression" dxfId="165" priority="481" stopIfTrue="1">
      <formula>$C156="NA"</formula>
    </cfRule>
  </conditionalFormatting>
  <conditionalFormatting sqref="E157">
    <cfRule type="expression" dxfId="164" priority="483" stopIfTrue="1">
      <formula>$C157="No"</formula>
    </cfRule>
  </conditionalFormatting>
  <conditionalFormatting sqref="E158">
    <cfRule type="expression" dxfId="163" priority="703" stopIfTrue="1">
      <formula>$C158="No"</formula>
    </cfRule>
    <cfRule type="expression" dxfId="162" priority="702" stopIfTrue="1">
      <formula>$C158="Yes"</formula>
    </cfRule>
  </conditionalFormatting>
  <conditionalFormatting sqref="E19:F19">
    <cfRule type="expression" dxfId="161" priority="348" stopIfTrue="1">
      <formula>$C19="No"</formula>
    </cfRule>
    <cfRule type="expression" dxfId="160" priority="347" stopIfTrue="1">
      <formula>$C19="Yes"</formula>
    </cfRule>
  </conditionalFormatting>
  <conditionalFormatting sqref="E22:F22">
    <cfRule type="expression" dxfId="159" priority="346" stopIfTrue="1">
      <formula>$C22="No"</formula>
    </cfRule>
    <cfRule type="expression" dxfId="158" priority="345" stopIfTrue="1">
      <formula>$C22="Yes"</formula>
    </cfRule>
  </conditionalFormatting>
  <conditionalFormatting sqref="E33:F33">
    <cfRule type="expression" dxfId="157" priority="339" stopIfTrue="1">
      <formula>$C33="No"</formula>
    </cfRule>
    <cfRule type="expression" dxfId="156" priority="338" stopIfTrue="1">
      <formula>$C33="Yes"</formula>
    </cfRule>
  </conditionalFormatting>
  <conditionalFormatting sqref="E42:F42">
    <cfRule type="expression" dxfId="155" priority="324" stopIfTrue="1">
      <formula>$C42="No"</formula>
    </cfRule>
    <cfRule type="expression" dxfId="154" priority="323" stopIfTrue="1">
      <formula>$C42="Yes"</formula>
    </cfRule>
  </conditionalFormatting>
  <conditionalFormatting sqref="E43:F46">
    <cfRule type="expression" dxfId="153" priority="47" stopIfTrue="1">
      <formula>$C43="Yes"</formula>
    </cfRule>
    <cfRule type="expression" dxfId="152" priority="46" stopIfTrue="1">
      <formula>$C43="NA"</formula>
    </cfRule>
    <cfRule type="expression" dxfId="151" priority="48" stopIfTrue="1">
      <formula>$C43="No"</formula>
    </cfRule>
  </conditionalFormatting>
  <conditionalFormatting sqref="E47:F47">
    <cfRule type="expression" dxfId="150" priority="322" stopIfTrue="1">
      <formula>$C47="No"</formula>
    </cfRule>
    <cfRule type="expression" dxfId="149" priority="321" stopIfTrue="1">
      <formula>$C47="Yes"</formula>
    </cfRule>
  </conditionalFormatting>
  <conditionalFormatting sqref="E51:F51">
    <cfRule type="expression" dxfId="148" priority="320" stopIfTrue="1">
      <formula>$C51="No"</formula>
    </cfRule>
    <cfRule type="expression" dxfId="147" priority="319" stopIfTrue="1">
      <formula>$C51="Yes"</formula>
    </cfRule>
  </conditionalFormatting>
  <conditionalFormatting sqref="E82:F82">
    <cfRule type="expression" dxfId="146" priority="312" stopIfTrue="1">
      <formula>$C82="No"</formula>
    </cfRule>
    <cfRule type="expression" dxfId="145" priority="311" stopIfTrue="1">
      <formula>$C82="Yes"</formula>
    </cfRule>
  </conditionalFormatting>
  <conditionalFormatting sqref="E84:F84">
    <cfRule type="expression" dxfId="144" priority="318" stopIfTrue="1">
      <formula>$C84="No"</formula>
    </cfRule>
    <cfRule type="expression" dxfId="143" priority="317" stopIfTrue="1">
      <formula>$C84="Yes"</formula>
    </cfRule>
  </conditionalFormatting>
  <conditionalFormatting sqref="E87:F87">
    <cfRule type="expression" dxfId="142" priority="315" stopIfTrue="1">
      <formula>$C87="Yes"</formula>
    </cfRule>
    <cfRule type="expression" dxfId="141" priority="316" stopIfTrue="1">
      <formula>$C87="No"</formula>
    </cfRule>
  </conditionalFormatting>
  <conditionalFormatting sqref="E89:F89">
    <cfRule type="expression" dxfId="140" priority="313" stopIfTrue="1">
      <formula>$C89="Yes"</formula>
    </cfRule>
    <cfRule type="expression" dxfId="139" priority="314" stopIfTrue="1">
      <formula>$C89="No"</formula>
    </cfRule>
  </conditionalFormatting>
  <conditionalFormatting sqref="E95:F95">
    <cfRule type="expression" dxfId="138" priority="310" stopIfTrue="1">
      <formula>$C95="No"</formula>
    </cfRule>
    <cfRule type="expression" dxfId="137" priority="309" stopIfTrue="1">
      <formula>$C95="Yes"</formula>
    </cfRule>
  </conditionalFormatting>
  <conditionalFormatting sqref="E97:F97">
    <cfRule type="expression" dxfId="136" priority="308" stopIfTrue="1">
      <formula>$C97="No"</formula>
    </cfRule>
    <cfRule type="expression" dxfId="135" priority="307" stopIfTrue="1">
      <formula>$C97="Yes"</formula>
    </cfRule>
  </conditionalFormatting>
  <conditionalFormatting sqref="E103:F103">
    <cfRule type="expression" dxfId="134" priority="306" stopIfTrue="1">
      <formula>$C103="No"</formula>
    </cfRule>
    <cfRule type="expression" dxfId="133" priority="305" stopIfTrue="1">
      <formula>$C103="Yes"</formula>
    </cfRule>
  </conditionalFormatting>
  <conditionalFormatting sqref="E105:F105">
    <cfRule type="expression" dxfId="132" priority="304" stopIfTrue="1">
      <formula>$C105="No"</formula>
    </cfRule>
    <cfRule type="expression" dxfId="131" priority="303" stopIfTrue="1">
      <formula>$C105="Yes"</formula>
    </cfRule>
  </conditionalFormatting>
  <conditionalFormatting sqref="E111:F111">
    <cfRule type="expression" dxfId="130" priority="226" stopIfTrue="1">
      <formula>$C111="No"</formula>
    </cfRule>
    <cfRule type="expression" dxfId="129" priority="224" stopIfTrue="1">
      <formula>$C111="NA"</formula>
    </cfRule>
    <cfRule type="expression" dxfId="128" priority="225" stopIfTrue="1">
      <formula>$C111="Yes"</formula>
    </cfRule>
  </conditionalFormatting>
  <conditionalFormatting sqref="E113:F113">
    <cfRule type="expression" dxfId="127" priority="221" stopIfTrue="1">
      <formula>$C113="NA"</formula>
    </cfRule>
    <cfRule type="expression" dxfId="126" priority="222" stopIfTrue="1">
      <formula>$C113="Yes"</formula>
    </cfRule>
    <cfRule type="expression" dxfId="125" priority="223" stopIfTrue="1">
      <formula>$C113="No"</formula>
    </cfRule>
  </conditionalFormatting>
  <conditionalFormatting sqref="E115:F115">
    <cfRule type="expression" dxfId="124" priority="218" stopIfTrue="1">
      <formula>$C115="NA"</formula>
    </cfRule>
  </conditionalFormatting>
  <conditionalFormatting sqref="E116:F116">
    <cfRule type="expression" dxfId="123" priority="190" stopIfTrue="1">
      <formula>$C116="N/A"</formula>
    </cfRule>
  </conditionalFormatting>
  <conditionalFormatting sqref="E118:F118">
    <cfRule type="expression" dxfId="122" priority="215" stopIfTrue="1">
      <formula>$C118="NA"</formula>
    </cfRule>
    <cfRule type="expression" dxfId="121" priority="216" stopIfTrue="1">
      <formula>$C118="Yes"</formula>
    </cfRule>
    <cfRule type="expression" dxfId="120" priority="217" stopIfTrue="1">
      <formula>$C118="No"</formula>
    </cfRule>
  </conditionalFormatting>
  <conditionalFormatting sqref="E119:F119">
    <cfRule type="expression" dxfId="119" priority="301" stopIfTrue="1">
      <formula>$C119="Yes"</formula>
    </cfRule>
    <cfRule type="expression" dxfId="118" priority="302" stopIfTrue="1">
      <formula>$C119="No"</formula>
    </cfRule>
  </conditionalFormatting>
  <conditionalFormatting sqref="E121:F121">
    <cfRule type="expression" dxfId="117" priority="299" stopIfTrue="1">
      <formula>$C121="Yes"</formula>
    </cfRule>
    <cfRule type="expression" dxfId="116" priority="300" stopIfTrue="1">
      <formula>$C121="No"</formula>
    </cfRule>
  </conditionalFormatting>
  <conditionalFormatting sqref="E123:F123">
    <cfRule type="expression" dxfId="115" priority="214" stopIfTrue="1">
      <formula>$C123="No"</formula>
    </cfRule>
    <cfRule type="expression" dxfId="114" priority="213" stopIfTrue="1">
      <formula>$C123="Yes"</formula>
    </cfRule>
    <cfRule type="expression" dxfId="113" priority="212" stopIfTrue="1">
      <formula>$C123="NA"</formula>
    </cfRule>
  </conditionalFormatting>
  <conditionalFormatting sqref="E124:F124">
    <cfRule type="expression" dxfId="112" priority="298" stopIfTrue="1">
      <formula>$C124="No"</formula>
    </cfRule>
    <cfRule type="expression" dxfId="111" priority="297" stopIfTrue="1">
      <formula>$C124="Yes"</formula>
    </cfRule>
  </conditionalFormatting>
  <conditionalFormatting sqref="E126:F126">
    <cfRule type="expression" dxfId="110" priority="296" stopIfTrue="1">
      <formula>$C126="No"</formula>
    </cfRule>
    <cfRule type="expression" dxfId="109" priority="295" stopIfTrue="1">
      <formula>$C126="Yes"</formula>
    </cfRule>
  </conditionalFormatting>
  <conditionalFormatting sqref="E127:F127">
    <cfRule type="expression" dxfId="108" priority="188" stopIfTrue="1">
      <formula>$C127="Yes"</formula>
    </cfRule>
    <cfRule type="expression" dxfId="107" priority="189" stopIfTrue="1">
      <formula>$C127="No"</formula>
    </cfRule>
    <cfRule type="expression" dxfId="106" priority="187" stopIfTrue="1">
      <formula>$C127="NA"</formula>
    </cfRule>
  </conditionalFormatting>
  <conditionalFormatting sqref="E129:F129">
    <cfRule type="expression" dxfId="105" priority="211" stopIfTrue="1">
      <formula>$C129="No"</formula>
    </cfRule>
    <cfRule type="expression" dxfId="104" priority="210" stopIfTrue="1">
      <formula>$C129="Yes"</formula>
    </cfRule>
    <cfRule type="expression" dxfId="103" priority="209" stopIfTrue="1">
      <formula>$C129="N/A"</formula>
    </cfRule>
  </conditionalFormatting>
  <conditionalFormatting sqref="E131:F131">
    <cfRule type="expression" dxfId="102" priority="186" stopIfTrue="1">
      <formula>$C131="No"</formula>
    </cfRule>
    <cfRule type="expression" dxfId="101" priority="185" stopIfTrue="1">
      <formula>$C131="Yes"</formula>
    </cfRule>
    <cfRule type="expression" dxfId="100" priority="184" stopIfTrue="1">
      <formula>$C131="N/A"</formula>
    </cfRule>
  </conditionalFormatting>
  <conditionalFormatting sqref="E133:F133">
    <cfRule type="expression" dxfId="99" priority="183" stopIfTrue="1">
      <formula>$C133="No"</formula>
    </cfRule>
    <cfRule type="expression" dxfId="98" priority="182" stopIfTrue="1">
      <formula>$C133="Yes"</formula>
    </cfRule>
    <cfRule type="expression" dxfId="97" priority="181" stopIfTrue="1">
      <formula>$C133="N/A"</formula>
    </cfRule>
  </conditionalFormatting>
  <conditionalFormatting sqref="E135:F135">
    <cfRule type="expression" dxfId="96" priority="180" stopIfTrue="1">
      <formula>$C135="No"</formula>
    </cfRule>
    <cfRule type="expression" dxfId="95" priority="179" stopIfTrue="1">
      <formula>$C135="Yes"</formula>
    </cfRule>
    <cfRule type="expression" dxfId="94" priority="178" stopIfTrue="1">
      <formula>$C135="N/A"</formula>
    </cfRule>
  </conditionalFormatting>
  <conditionalFormatting sqref="E137:F137">
    <cfRule type="expression" dxfId="93" priority="177" stopIfTrue="1">
      <formula>$C137="No"</formula>
    </cfRule>
    <cfRule type="expression" dxfId="92" priority="175" stopIfTrue="1">
      <formula>$C137="N/A"</formula>
    </cfRule>
    <cfRule type="expression" dxfId="91" priority="176" stopIfTrue="1">
      <formula>$C137="Yes"</formula>
    </cfRule>
  </conditionalFormatting>
  <conditionalFormatting sqref="E139:F139">
    <cfRule type="expression" dxfId="90" priority="172" stopIfTrue="1">
      <formula>$C139="N/A"</formula>
    </cfRule>
    <cfRule type="expression" dxfId="89" priority="173" stopIfTrue="1">
      <formula>$C139="Yes"</formula>
    </cfRule>
    <cfRule type="expression" dxfId="88" priority="174" stopIfTrue="1">
      <formula>$C139="No"</formula>
    </cfRule>
  </conditionalFormatting>
  <conditionalFormatting sqref="E141:F141">
    <cfRule type="expression" dxfId="87" priority="169" stopIfTrue="1">
      <formula>$C141="N/A"</formula>
    </cfRule>
    <cfRule type="expression" dxfId="86" priority="170" stopIfTrue="1">
      <formula>$C141="Yes"</formula>
    </cfRule>
    <cfRule type="expression" dxfId="85" priority="171" stopIfTrue="1">
      <formula>$C141="No"</formula>
    </cfRule>
  </conditionalFormatting>
  <conditionalFormatting sqref="E142:F142">
    <cfRule type="expression" dxfId="84" priority="293" stopIfTrue="1">
      <formula>$C142="Yes"</formula>
    </cfRule>
    <cfRule type="expression" dxfId="83" priority="294" stopIfTrue="1">
      <formula>$C142="No"</formula>
    </cfRule>
  </conditionalFormatting>
  <conditionalFormatting sqref="E144:F144">
    <cfRule type="expression" dxfId="82" priority="291" stopIfTrue="1">
      <formula>$C144="Yes"</formula>
    </cfRule>
    <cfRule type="expression" dxfId="81" priority="292" stopIfTrue="1">
      <formula>$C144="No"</formula>
    </cfRule>
  </conditionalFormatting>
  <conditionalFormatting sqref="E152:F152">
    <cfRule type="expression" dxfId="80" priority="290" stopIfTrue="1">
      <formula>$C152="No"</formula>
    </cfRule>
    <cfRule type="expression" dxfId="79" priority="289" stopIfTrue="1">
      <formula>$C152="Yes"</formula>
    </cfRule>
  </conditionalFormatting>
  <conditionalFormatting sqref="E154:F154">
    <cfRule type="expression" dxfId="78" priority="287" stopIfTrue="1">
      <formula>$C154="Yes"</formula>
    </cfRule>
    <cfRule type="expression" dxfId="77" priority="288" stopIfTrue="1">
      <formula>$C154="No"</formula>
    </cfRule>
  </conditionalFormatting>
  <conditionalFormatting sqref="F30">
    <cfRule type="expression" dxfId="76" priority="344" stopIfTrue="1">
      <formula>$C30="No"</formula>
    </cfRule>
    <cfRule type="expression" dxfId="75" priority="343" stopIfTrue="1">
      <formula>$C30="Yes"</formula>
    </cfRule>
  </conditionalFormatting>
  <conditionalFormatting sqref="F115">
    <cfRule type="expression" dxfId="74" priority="220" stopIfTrue="1">
      <formula>$C115="No"</formula>
    </cfRule>
    <cfRule type="expression" dxfId="73" priority="219" stopIfTrue="1">
      <formula>$C115="Yes"</formula>
    </cfRule>
  </conditionalFormatting>
  <conditionalFormatting sqref="F116">
    <cfRule type="expression" dxfId="72" priority="192" stopIfTrue="1">
      <formula>$C116="No"</formula>
    </cfRule>
    <cfRule type="expression" dxfId="71" priority="191" stopIfTrue="1">
      <formula>$C116="Yes"</formula>
    </cfRule>
  </conditionalFormatting>
  <dataValidations count="11">
    <dataValidation type="list" sqref="B99" xr:uid="{00000000-0002-0000-0100-000000000000}">
      <formula1>"No,Yes"</formula1>
    </dataValidation>
    <dataValidation type="list" allowBlank="1" showInputMessage="1" showErrorMessage="1" sqref="C65" xr:uid="{00000000-0002-0000-0100-000001000000}">
      <formula1>"Yes, No, NA"</formula1>
    </dataValidation>
    <dataValidation showInputMessage="1" showErrorMessage="1" sqref="C13 C20 C25 C28 C34 C36 C38 C43 C45 C52 C54 C59 C61 C67 C63 C71 C75 C73 C77 C85 C79 C90 C93 C98 C100 C106 C108 C110 C112 C114 C117 C122 C148 C130 C132 C134 C136 C138 C140 C155 C146 C128 C69 C150" xr:uid="{00000000-0002-0000-0100-000002000000}"/>
    <dataValidation type="list" allowBlank="1" showInputMessage="1" showErrorMessage="1" sqref="C144 C89 C158 C152 C40 C22 C47 C119 C17 C33 C126 C82 C87 C121 C95 C105 C103 C97 C84 C51 C42 C124 C24 C19 C12 C154 C142 C30" xr:uid="{00000000-0002-0000-0100-000003000000}">
      <formula1>"Yes, No"</formula1>
    </dataValidation>
    <dataValidation type="list" allowBlank="1" showInputMessage="1" showErrorMessage="1" sqref="C29 C21 C147 C55:C56 C35 C37 C39 C44 C46 C53 C91:C92 C60 C62 C64 C68 C70 C72 C74 C76 C78 C86 C156:C157 C94 C99 C26:C27 C107 C109 C111 C113 C101:C102 C118 C123 C127 C115 C151 C149 C145 C14:C16 C7 C9" xr:uid="{00000000-0002-0000-0100-000004000000}">
      <formula1>"&lt;select&gt;,Yes, No"</formula1>
    </dataValidation>
    <dataValidation type="list" allowBlank="1" showInputMessage="1" showErrorMessage="1" sqref="C129 C131 C133 C135 C137 C139 C116 C141 C57:C58 C80:C81" xr:uid="{00000000-0002-0000-0100-000005000000}">
      <formula1>"&lt;select&gt;,Yes, No, N/A"</formula1>
    </dataValidation>
    <dataValidation type="list" allowBlank="1" showInputMessage="1" showErrorMessage="1" sqref="C66" xr:uid="{00000000-0002-0000-0100-000006000000}">
      <formula1>"&lt;select&gt;, Static, Temporary, N/A"</formula1>
    </dataValidation>
    <dataValidation showDropDown="1" sqref="B145" xr:uid="{00000000-0002-0000-0100-000007000000}"/>
    <dataValidation sqref="B147 B129 B131 B127 B115:B116 B111 B109 B107 B101:B102 B94" xr:uid="{254BED6E-18CB-49CC-ADDA-396BF2F60103}"/>
    <dataValidation allowBlank="1" showErrorMessage="1" prompt="_x000a_" sqref="E7:E9" xr:uid="{E9E1629B-4473-4532-8FD7-7591A22586D5}"/>
    <dataValidation type="list" allowBlank="1" showInputMessage="1" showErrorMessage="1" sqref="C8" xr:uid="{D0DD49FB-FABD-4F1D-BFFC-499875A45574}">
      <formula1>"&lt;select&gt;, CIS v5.0, CIS v3.0"</formula1>
    </dataValidation>
  </dataValidations>
  <hyperlinks>
    <hyperlink ref="A52" location="Explanation!A13" display="IAM-001" xr:uid="{699F50DC-49DB-4E86-859B-43CD42ADDFBE}"/>
    <hyperlink ref="A13" location="Explanation!A3" display="HOST-001" xr:uid="{509DA611-E567-46F8-B71B-109DA6BA916B}"/>
    <hyperlink ref="A20" location="Explanation!A4" display="SUP-001" xr:uid="{C79D702E-EC3E-427E-8C2E-B573A4E954C4}"/>
    <hyperlink ref="A25" location="Explanation!A5" display="WAFR-001" xr:uid="{CCEE95BA-3036-471E-BFF3-768ABBA6EB8D}"/>
    <hyperlink ref="A28" location="Explanation!A6" display="WAFR-002" xr:uid="{1EED86F0-EC1B-43BE-A376-FD87590C7291}"/>
    <hyperlink ref="A34" location="Explanation!A7" display="ARC-001" xr:uid="{F1914AC9-1E9C-4749-A2CC-1CC98EA267EA}"/>
    <hyperlink ref="A36" location="Explanation!A9" display="ARC-004" xr:uid="{1F994429-E5A2-4F0D-BB03-96ED7F2743C4}"/>
    <hyperlink ref="A38" location="Explanation!A10" display="ARC-005" xr:uid="{4AAB5590-AC23-438B-803E-26D5F4C555AC}"/>
    <hyperlink ref="A43" location="Explanation!A11" display="ACOM-001" xr:uid="{E08517C0-FC5D-4B8F-9209-526E696A71AA}"/>
    <hyperlink ref="A45" location="Explanation!A12" display="ACOM-002" xr:uid="{319B5197-810D-4C4A-9672-41054B3C320E}"/>
    <hyperlink ref="A54" location="Explanation!A14" display="IAM-002" xr:uid="{5A6DB499-9C26-4A53-9D02-63FE9015E1BA}"/>
    <hyperlink ref="A59" location="'Partner Hosted FTR Requirements'!A15" display="IAM-003" xr:uid="{3870C0A3-1114-46FB-AC1E-A2B66A025A64}"/>
    <hyperlink ref="A61" location="Explanation!A16" display="IAM-004" xr:uid="{28791412-A756-4D34-A772-C94827B19471}"/>
    <hyperlink ref="A63" location="Explanation!A17" display="IAM-005" xr:uid="{52021FAB-E25B-403D-A8E0-76DFBDDABFB9}"/>
    <hyperlink ref="A67" location="Explanation!A18" display="IAM-006" xr:uid="{3A5C021B-A4D1-4FCF-B94A-5EE219844E20}"/>
    <hyperlink ref="A69" location="Explanation!A19" display="IAM-007" xr:uid="{3B3FEB85-CAD7-4451-9FBA-5779EA25D261}"/>
    <hyperlink ref="A71" location="Explanation!A20" display="IAM-008" xr:uid="{CA4E3D9C-16A1-4820-B603-3C516AF35F6B}"/>
    <hyperlink ref="A73" location="Explanation!A21" display="IAM-009" xr:uid="{5F0DE4EF-63DA-44C8-BA34-8D331FBD72A5}"/>
    <hyperlink ref="A75" location="Explanation!A22" display="IAM-010" xr:uid="{89DFF12A-DD95-4E36-85BA-8644BB508C32}"/>
    <hyperlink ref="A77" location="Explanation!A23" display="IAM-011" xr:uid="{296D5404-1DE6-4533-8729-F310AF6CA247}"/>
    <hyperlink ref="A79" location="Explanation!A24" display="IAM-012" xr:uid="{FDBADAC6-C4C2-4C22-A98C-13FEC428063C}"/>
    <hyperlink ref="A85" location="Explanation!A25" display="SECOPS-001" xr:uid="{1BB863C8-4364-4290-9625-FCD6A1735263}"/>
    <hyperlink ref="A90" location="Explanation!A26" display="NETSEC-001" xr:uid="{026030BD-B577-47C9-AB25-A8A00128DCDB}"/>
    <hyperlink ref="A93" location="Explanation!A27" display="NETSEC-002" xr:uid="{01D60567-F979-4D59-9668-84091C76DCE0}"/>
    <hyperlink ref="A98" location="Explanation!A28" display="BAR-001" xr:uid="{92BECE0A-25A2-4588-9BCF-C634206123F2}"/>
    <hyperlink ref="A100" location="Explanation!A29" display="BAR-002" xr:uid="{DAE4C0EF-1004-4C02-8C1D-EF2D01F4C3E7}"/>
    <hyperlink ref="A106" location="Explanation!A30" display="RES-001" xr:uid="{3D15BDC6-C496-45BD-9A6F-088388CB793F}"/>
    <hyperlink ref="A108" location="Explanation!A31" display="RES-002" xr:uid="{FE55B7D4-F4BA-4533-8BD0-958E4751490D}"/>
    <hyperlink ref="A110" location="Explanation!A32" display="RES-004" xr:uid="{87DD0FDB-DEE9-45FD-A2A2-2CF2723C9EE5}"/>
    <hyperlink ref="A112" location="'Partner Hosted FTR Requirements'!A33" display="RES-005" xr:uid="{FA348740-1FC9-4AE5-857E-AFCAF1DC6CD4}"/>
    <hyperlink ref="A114" location="Explanation!A34" display="RES-006" xr:uid="{ABE7CBBE-8FD2-41AC-98CE-4F2C86EC0042}"/>
    <hyperlink ref="A117" location="Explanation!A34" display="RES-007" xr:uid="{B9229830-E2E9-4C39-8F36-8CA97B725486}"/>
    <hyperlink ref="A122" location="Explanation!A36" display="S3-001" xr:uid="{289EBB75-AC14-4A80-9573-3B1B03C8546A}"/>
    <hyperlink ref="A127" location="Explanation!A37" display="CAA-000" xr:uid="{06B643FC-2E94-4FB6-B7C8-D82BF97F2140}"/>
    <hyperlink ref="A128" location="Explanation!A37" display="CAA-001" xr:uid="{FCADDFDC-E910-4D93-A3E7-86F79F9ADB5F}"/>
    <hyperlink ref="A130" location="Explanation!A38" display="CAA-007" xr:uid="{4EF4F539-4339-46DA-B656-40BE56945882}"/>
    <hyperlink ref="A132" location="Explanation!A39" display="CAA-002" xr:uid="{F95C6945-5E75-488A-A2D4-2EB034DF095E}"/>
    <hyperlink ref="A134" location="Explanation!A40" display="CAA-004" xr:uid="{E771E9E9-3E5D-4413-9FD6-921E243360B2}"/>
    <hyperlink ref="A136" location="Explanation!A41" display="CAA-005" xr:uid="{A4481CAD-5B46-46C6-BDD0-4CB2AEEFC7FC}"/>
    <hyperlink ref="A138" location="Explanation!A42" display="CAA-006" xr:uid="{E92B459E-570D-42CA-B62B-CB48DC957FBA}"/>
    <hyperlink ref="A140" location="Explanation!A43" display="CAA-003" xr:uid="{61E3C423-D5C0-45E9-8763-B052B27F9FAA}"/>
    <hyperlink ref="A145" location="Explanation!A44" display="SDAT-000" xr:uid="{778D7B09-E792-4626-BCE0-68A07F26053C}"/>
    <hyperlink ref="A148" location="Explanation!A45" display="SDAT-002" xr:uid="{891CC282-159B-495B-BB36-BAA0FD21B29F}"/>
    <hyperlink ref="A150" location="Explanation!A46" display="SDAT-003" xr:uid="{C7B3F5DF-3ED1-4912-9896-99BF49D8BF09}"/>
    <hyperlink ref="A155" location="Explanation!A47" display="RCVP-001" xr:uid="{24D5C5BA-0E3A-4E23-A7E7-2979F09A6EAE}"/>
  </hyperlinks>
  <pageMargins left="0.7" right="0.7" top="0.75" bottom="0.75" header="0.3" footer="0.3"/>
  <pageSetup orientation="portrait" r:id="rId1"/>
  <ignoredErrors>
    <ignoredError sqref="E29"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J49"/>
  <sheetViews>
    <sheetView zoomScale="90" zoomScaleNormal="90" workbookViewId="0">
      <selection activeCell="C11" sqref="C11"/>
    </sheetView>
  </sheetViews>
  <sheetFormatPr baseColWidth="10" defaultColWidth="8.6640625" defaultRowHeight="15" x14ac:dyDescent="0.2"/>
  <cols>
    <col min="1" max="1" width="35.5" style="71" customWidth="1"/>
    <col min="2" max="2" width="59.83203125" style="86" customWidth="1"/>
    <col min="3" max="3" width="10.1640625" style="71" customWidth="1"/>
    <col min="4" max="4" width="41.5" style="86" customWidth="1"/>
    <col min="5" max="5" width="93.83203125" style="87" customWidth="1"/>
    <col min="6" max="16384" width="8.6640625" style="71"/>
  </cols>
  <sheetData>
    <row r="1" spans="1:10" ht="82" customHeight="1" x14ac:dyDescent="0.2">
      <c r="A1" s="185" t="s">
        <v>189</v>
      </c>
      <c r="B1" s="186"/>
      <c r="C1" s="186"/>
      <c r="D1" s="186"/>
      <c r="E1" s="70"/>
    </row>
    <row r="2" spans="1:10" ht="20" x14ac:dyDescent="0.25">
      <c r="A2" s="72" t="s">
        <v>0</v>
      </c>
      <c r="B2" s="72" t="s">
        <v>1</v>
      </c>
      <c r="C2" s="72" t="s">
        <v>202</v>
      </c>
      <c r="D2" s="72" t="s">
        <v>120</v>
      </c>
      <c r="E2" s="73" t="s">
        <v>190</v>
      </c>
    </row>
    <row r="3" spans="1:10" ht="16" thickBot="1" x14ac:dyDescent="0.25">
      <c r="A3" s="74"/>
      <c r="B3" s="75"/>
      <c r="C3" s="74"/>
      <c r="D3" s="75"/>
      <c r="E3" s="70"/>
    </row>
    <row r="4" spans="1:10" ht="42" thickTop="1" thickBot="1" x14ac:dyDescent="0.3">
      <c r="A4" s="151" t="s">
        <v>395</v>
      </c>
      <c r="B4" s="59" t="s">
        <v>396</v>
      </c>
      <c r="C4" s="82" t="str">
        <f>'Partner Hosted FTR Requirements'!C7</f>
        <v>&lt;select&gt;</v>
      </c>
      <c r="D4" s="75"/>
      <c r="E4" s="79" t="str">
        <f>'Partner Hosted FTR Requirements'!E7</f>
        <v/>
      </c>
    </row>
    <row r="5" spans="1:10" ht="49" customHeight="1" thickTop="1" thickBot="1" x14ac:dyDescent="0.25">
      <c r="A5" s="76" t="s">
        <v>3</v>
      </c>
      <c r="B5" s="77" t="s">
        <v>201</v>
      </c>
      <c r="C5" s="78" t="str">
        <f>'Partner Hosted FTR Requirements'!C13</f>
        <v/>
      </c>
      <c r="D5" s="160" t="str">
        <f>IF('Partner Hosted FTR Requirements'!E13="", "", 'Partner Hosted FTR Requirements'!E13)</f>
        <v/>
      </c>
      <c r="E5" s="79" t="str">
        <f>'Partner Hosted FTR Requirements'!E14</f>
        <v/>
      </c>
    </row>
    <row r="6" spans="1:10" ht="45" customHeight="1" thickTop="1" thickBot="1" x14ac:dyDescent="0.25">
      <c r="A6" s="80" t="s">
        <v>5</v>
      </c>
      <c r="B6" s="81" t="s">
        <v>200</v>
      </c>
      <c r="C6" s="82" t="str">
        <f>'Partner Hosted FTR Requirements'!C20</f>
        <v/>
      </c>
      <c r="D6" s="161" t="str">
        <f>IF('Partner Hosted FTR Requirements'!E20="", "", 'Partner Hosted FTR Requirements'!E20)</f>
        <v/>
      </c>
      <c r="E6" s="79" t="str">
        <f>'Partner Hosted FTR Requirements'!E21</f>
        <v/>
      </c>
    </row>
    <row r="7" spans="1:10" ht="134.5" customHeight="1" thickTop="1" thickBot="1" x14ac:dyDescent="0.25">
      <c r="A7" s="76" t="s">
        <v>7</v>
      </c>
      <c r="B7" s="77" t="s">
        <v>199</v>
      </c>
      <c r="C7" s="78" t="str">
        <f>'Partner Hosted FTR Requirements'!C25</f>
        <v/>
      </c>
      <c r="D7" s="160" t="str">
        <f>IF('Partner Hosted FTR Requirements'!E25="", "", 'Partner Hosted FTR Requirements'!E25)</f>
        <v/>
      </c>
      <c r="E7" s="79" t="str">
        <f>'Partner Hosted FTR Requirements'!E26&amp; CHAR(10) &amp;'Partner Hosted FTR Requirements'!E27</f>
        <v xml:space="preserve">
</v>
      </c>
    </row>
    <row r="8" spans="1:10" ht="62" thickTop="1" thickBot="1" x14ac:dyDescent="0.25">
      <c r="A8" s="83" t="s">
        <v>198</v>
      </c>
      <c r="B8" s="84" t="s">
        <v>197</v>
      </c>
      <c r="C8" s="85" t="str">
        <f>'Partner Hosted FTR Requirements'!C28</f>
        <v/>
      </c>
      <c r="D8" s="162" t="str">
        <f>IF('Partner Hosted FTR Requirements'!E28="", "", 'Partner Hosted FTR Requirements'!E28)</f>
        <v/>
      </c>
      <c r="E8" s="79" t="str">
        <f>'Partner Hosted FTR Requirements'!E29</f>
        <v/>
      </c>
    </row>
    <row r="9" spans="1:10" ht="44" customHeight="1" thickTop="1" thickBot="1" x14ac:dyDescent="0.25">
      <c r="A9" s="76" t="s">
        <v>9</v>
      </c>
      <c r="B9" s="77" t="s">
        <v>196</v>
      </c>
      <c r="C9" s="78" t="str">
        <f>'Partner Hosted FTR Requirements'!C34</f>
        <v/>
      </c>
      <c r="D9" s="160" t="str">
        <f>IF('Partner Hosted FTR Requirements'!E34="", "", 'Partner Hosted FTR Requirements'!E34)</f>
        <v/>
      </c>
      <c r="E9" s="79" t="str">
        <f>'Partner Hosted FTR Requirements'!E35</f>
        <v/>
      </c>
    </row>
    <row r="10" spans="1:10" ht="48" customHeight="1" thickTop="1" thickBot="1" x14ac:dyDescent="0.25">
      <c r="A10" s="76" t="s">
        <v>661</v>
      </c>
      <c r="B10" s="77" t="s">
        <v>450</v>
      </c>
      <c r="C10" s="78" t="str">
        <f>'Partner Hosted FTR Requirements'!C36</f>
        <v/>
      </c>
      <c r="D10" s="160" t="str">
        <f>IF('Partner Hosted FTR Requirements'!E36="", "", 'Partner Hosted FTR Requirements'!E36)</f>
        <v/>
      </c>
      <c r="E10" s="79" t="str">
        <f>'Partner Hosted FTR Requirements'!E37</f>
        <v/>
      </c>
    </row>
    <row r="11" spans="1:10" ht="57.5" customHeight="1" thickTop="1" thickBot="1" x14ac:dyDescent="0.25">
      <c r="A11" s="83" t="s">
        <v>11</v>
      </c>
      <c r="B11" s="135" t="s">
        <v>353</v>
      </c>
      <c r="C11" s="85" t="str">
        <f>'Partner Hosted FTR Requirements'!C38</f>
        <v/>
      </c>
      <c r="D11" s="162"/>
      <c r="E11" s="79" t="str">
        <f>'Partner Hosted FTR Requirements'!E39</f>
        <v/>
      </c>
      <c r="I11" s="136"/>
      <c r="J11" s="134"/>
    </row>
    <row r="12" spans="1:10" ht="62" thickTop="1" thickBot="1" x14ac:dyDescent="0.25">
      <c r="A12" s="76" t="s">
        <v>15</v>
      </c>
      <c r="B12" s="77" t="s">
        <v>647</v>
      </c>
      <c r="C12" s="78" t="str">
        <f>'Partner Hosted FTR Requirements'!C43</f>
        <v/>
      </c>
      <c r="D12" s="160" t="str">
        <f>IF('Partner Hosted FTR Requirements'!E43="", "", 'Partner Hosted FTR Requirements'!E43)</f>
        <v/>
      </c>
      <c r="E12" s="79" t="str">
        <f>'Partner Hosted FTR Requirements'!E44</f>
        <v/>
      </c>
    </row>
    <row r="13" spans="1:10" ht="62" thickTop="1" thickBot="1" x14ac:dyDescent="0.25">
      <c r="A13" s="83" t="s">
        <v>16</v>
      </c>
      <c r="B13" s="84" t="s">
        <v>195</v>
      </c>
      <c r="C13" s="85" t="str">
        <f>'Partner Hosted FTR Requirements'!C45</f>
        <v/>
      </c>
      <c r="D13" s="162" t="str">
        <f>IF('Partner Hosted FTR Requirements'!E45="", "", 'Partner Hosted FTR Requirements'!E45)</f>
        <v/>
      </c>
      <c r="E13" s="79" t="str">
        <f>'Partner Hosted FTR Requirements'!E46</f>
        <v/>
      </c>
    </row>
    <row r="14" spans="1:10" ht="62" thickTop="1" thickBot="1" x14ac:dyDescent="0.25">
      <c r="A14" s="76" t="s">
        <v>20</v>
      </c>
      <c r="B14" s="77" t="s">
        <v>449</v>
      </c>
      <c r="C14" s="78" t="str">
        <f>'Partner Hosted FTR Requirements'!C52</f>
        <v/>
      </c>
      <c r="D14" s="160" t="str">
        <f>IF('Partner Hosted FTR Requirements'!E52="", "", 'Partner Hosted FTR Requirements'!E52)</f>
        <v/>
      </c>
      <c r="E14" s="79" t="str">
        <f>'Partner Hosted FTR Requirements'!E53</f>
        <v/>
      </c>
    </row>
    <row r="15" spans="1:10" ht="82" thickTop="1" thickBot="1" x14ac:dyDescent="0.25">
      <c r="A15" s="83" t="s">
        <v>21</v>
      </c>
      <c r="B15" s="81" t="s">
        <v>616</v>
      </c>
      <c r="C15" s="85" t="str">
        <f>'Partner Hosted FTR Requirements'!C54</f>
        <v/>
      </c>
      <c r="D15" s="162" t="str">
        <f>IF('Partner Hosted FTR Requirements'!E54="", "", 'Partner Hosted FTR Requirements'!E54)</f>
        <v/>
      </c>
      <c r="E15" s="79" t="str">
        <f>'Partner Hosted FTR Requirements'!E55 &amp; CHAR(10) &amp; 'Partner Hosted FTR Requirements'!E56 &amp; CHAR(10) &amp; 'Partner Hosted FTR Requirements'!E57 &amp; CHAR(10) &amp; 'Partner Hosted FTR Requirements'!E58</f>
        <v xml:space="preserve">
</v>
      </c>
    </row>
    <row r="16" spans="1:10" ht="62" thickTop="1" thickBot="1" x14ac:dyDescent="0.25">
      <c r="A16" s="76" t="s">
        <v>22</v>
      </c>
      <c r="B16" s="77" t="s">
        <v>451</v>
      </c>
      <c r="C16" s="78" t="str">
        <f>'Partner Hosted FTR Requirements'!C59</f>
        <v/>
      </c>
      <c r="D16" s="160" t="str">
        <f>IF('Partner Hosted FTR Requirements'!E59="", "", 'Partner Hosted FTR Requirements'!E59)</f>
        <v/>
      </c>
      <c r="E16" s="79" t="str">
        <f>'Partner Hosted FTR Requirements'!E60</f>
        <v/>
      </c>
    </row>
    <row r="17" spans="1:5" ht="62" thickTop="1" thickBot="1" x14ac:dyDescent="0.25">
      <c r="A17" s="83" t="s">
        <v>23</v>
      </c>
      <c r="B17" s="84" t="s">
        <v>194</v>
      </c>
      <c r="C17" s="85" t="str">
        <f>'Partner Hosted FTR Requirements'!C61</f>
        <v/>
      </c>
      <c r="D17" s="162" t="str">
        <f>IF('Partner Hosted FTR Requirements'!E61="", "", 'Partner Hosted FTR Requirements'!E61)</f>
        <v/>
      </c>
      <c r="E17" s="79" t="str">
        <f>'Partner Hosted FTR Requirements'!E62</f>
        <v/>
      </c>
    </row>
    <row r="18" spans="1:5" ht="62" thickTop="1" thickBot="1" x14ac:dyDescent="0.25">
      <c r="A18" s="76" t="s">
        <v>24</v>
      </c>
      <c r="B18" s="77" t="s">
        <v>193</v>
      </c>
      <c r="C18" s="78" t="str">
        <f>'Partner Hosted FTR Requirements'!C63</f>
        <v/>
      </c>
      <c r="D18" s="160" t="str">
        <f>IF('Partner Hosted FTR Requirements'!E63="", "", 'Partner Hosted FTR Requirements'!E63)</f>
        <v/>
      </c>
      <c r="E18" s="79" t="str">
        <f>'Partner Hosted FTR Requirements'!E64&amp; CHAR(10) &amp;'Partner Hosted FTR Requirements'!E66</f>
        <v xml:space="preserve">
</v>
      </c>
    </row>
    <row r="19" spans="1:5" ht="53" customHeight="1" thickTop="1" thickBot="1" x14ac:dyDescent="0.25">
      <c r="A19" s="83" t="s">
        <v>25</v>
      </c>
      <c r="B19" s="81" t="s">
        <v>452</v>
      </c>
      <c r="C19" s="85" t="str">
        <f>'Partner Hosted FTR Requirements'!C67</f>
        <v/>
      </c>
      <c r="D19" s="162" t="str">
        <f>IF('Partner Hosted FTR Requirements'!E67="", "", 'Partner Hosted FTR Requirements'!E67)</f>
        <v/>
      </c>
      <c r="E19" s="79" t="str">
        <f>'Partner Hosted FTR Requirements'!E68</f>
        <v/>
      </c>
    </row>
    <row r="20" spans="1:5" ht="42" thickTop="1" thickBot="1" x14ac:dyDescent="0.25">
      <c r="A20" s="76" t="s">
        <v>26</v>
      </c>
      <c r="B20" s="77" t="s">
        <v>192</v>
      </c>
      <c r="C20" s="78" t="str">
        <f>'Partner Hosted FTR Requirements'!C69</f>
        <v/>
      </c>
      <c r="D20" s="160" t="str">
        <f>IF('Partner Hosted FTR Requirements'!E69="", "", 'Partner Hosted FTR Requirements'!E69)</f>
        <v/>
      </c>
      <c r="E20" s="79" t="str">
        <f>'Partner Hosted FTR Requirements'!E70</f>
        <v/>
      </c>
    </row>
    <row r="21" spans="1:5" ht="28.5" customHeight="1" thickTop="1" thickBot="1" x14ac:dyDescent="0.25">
      <c r="A21" s="83" t="s">
        <v>28</v>
      </c>
      <c r="B21" s="84" t="s">
        <v>191</v>
      </c>
      <c r="C21" s="85" t="str">
        <f>'Partner Hosted FTR Requirements'!C71</f>
        <v/>
      </c>
      <c r="D21" s="162" t="str">
        <f>IF('Partner Hosted FTR Requirements'!E71="", "", 'Partner Hosted FTR Requirements'!E71)</f>
        <v/>
      </c>
      <c r="E21" s="79" t="str">
        <f>'Partner Hosted FTR Requirements'!E72</f>
        <v/>
      </c>
    </row>
    <row r="22" spans="1:5" ht="82" thickTop="1" thickBot="1" x14ac:dyDescent="0.25">
      <c r="A22" s="76" t="s">
        <v>29</v>
      </c>
      <c r="B22" s="77" t="s">
        <v>208</v>
      </c>
      <c r="C22" s="78" t="str">
        <f>'Partner Hosted FTR Requirements'!C73</f>
        <v/>
      </c>
      <c r="D22" s="160" t="str">
        <f>IF('Partner Hosted FTR Requirements'!E73="", "", 'Partner Hosted FTR Requirements'!E73)</f>
        <v/>
      </c>
      <c r="E22" s="79" t="str">
        <f>'Partner Hosted FTR Requirements'!E74</f>
        <v/>
      </c>
    </row>
    <row r="23" spans="1:5" ht="62" thickTop="1" thickBot="1" x14ac:dyDescent="0.25">
      <c r="A23" s="83" t="s">
        <v>30</v>
      </c>
      <c r="B23" s="84" t="s">
        <v>209</v>
      </c>
      <c r="C23" s="85" t="str">
        <f>'Partner Hosted FTR Requirements'!C75</f>
        <v/>
      </c>
      <c r="D23" s="162" t="str">
        <f>IF('Partner Hosted FTR Requirements'!E75="", "", 'Partner Hosted FTR Requirements'!E75)</f>
        <v/>
      </c>
      <c r="E23" s="79" t="str">
        <f>'Partner Hosted FTR Requirements'!E76</f>
        <v/>
      </c>
    </row>
    <row r="24" spans="1:5" ht="61" customHeight="1" thickTop="1" thickBot="1" x14ac:dyDescent="0.25">
      <c r="A24" s="76" t="s">
        <v>31</v>
      </c>
      <c r="B24" s="77" t="s">
        <v>210</v>
      </c>
      <c r="C24" s="78" t="str">
        <f>'Partner Hosted FTR Requirements'!C77</f>
        <v/>
      </c>
      <c r="D24" s="160" t="str">
        <f>IF('Partner Hosted FTR Requirements'!E77="", "", 'Partner Hosted FTR Requirements'!E77)</f>
        <v/>
      </c>
      <c r="E24" s="79" t="str">
        <f>'Partner Hosted FTR Requirements'!E78</f>
        <v/>
      </c>
    </row>
    <row r="25" spans="1:5" ht="62" customHeight="1" thickTop="1" thickBot="1" x14ac:dyDescent="0.25">
      <c r="A25" s="83" t="s">
        <v>32</v>
      </c>
      <c r="B25" s="84" t="s">
        <v>211</v>
      </c>
      <c r="C25" s="85" t="str">
        <f>'Partner Hosted FTR Requirements'!C79</f>
        <v/>
      </c>
      <c r="D25" s="162" t="str">
        <f>IF('Partner Hosted FTR Requirements'!E79="", "", 'Partner Hosted FTR Requirements'!E79)</f>
        <v/>
      </c>
      <c r="E25" s="79" t="str">
        <f>'Partner Hosted FTR Requirements'!E80</f>
        <v/>
      </c>
    </row>
    <row r="26" spans="1:5" ht="62" thickTop="1" thickBot="1" x14ac:dyDescent="0.25">
      <c r="A26" s="76" t="s">
        <v>34</v>
      </c>
      <c r="B26" s="77" t="s">
        <v>212</v>
      </c>
      <c r="C26" s="78" t="str">
        <f>'Partner Hosted FTR Requirements'!C85</f>
        <v/>
      </c>
      <c r="D26" s="160" t="str">
        <f>IF('Partner Hosted FTR Requirements'!E85="", "", 'Partner Hosted FTR Requirements'!E85)</f>
        <v/>
      </c>
      <c r="E26" s="79" t="str">
        <f>'Partner Hosted FTR Requirements'!E86</f>
        <v/>
      </c>
    </row>
    <row r="27" spans="1:5" ht="62" thickTop="1" thickBot="1" x14ac:dyDescent="0.25">
      <c r="A27" s="80" t="s">
        <v>36</v>
      </c>
      <c r="B27" s="81" t="s">
        <v>648</v>
      </c>
      <c r="C27" s="82" t="str">
        <f>'Partner Hosted FTR Requirements'!C90</f>
        <v/>
      </c>
      <c r="D27" s="161" t="str">
        <f>IF('Partner Hosted FTR Requirements'!E90="", "", 'Partner Hosted FTR Requirements'!E90)</f>
        <v/>
      </c>
      <c r="E27" s="79" t="str">
        <f>'Partner Hosted FTR Requirements'!E91&amp; CHAR(10) &amp;'Partner Hosted FTR Requirements'!E92&amp; CHAR(10)</f>
        <v xml:space="preserve">
</v>
      </c>
    </row>
    <row r="28" spans="1:5" ht="62" thickTop="1" thickBot="1" x14ac:dyDescent="0.25">
      <c r="A28" s="76" t="s">
        <v>37</v>
      </c>
      <c r="B28" s="77" t="s">
        <v>214</v>
      </c>
      <c r="C28" s="78" t="str">
        <f>'Partner Hosted FTR Requirements'!C93</f>
        <v/>
      </c>
      <c r="D28" s="160" t="str">
        <f>IF('Partner Hosted FTR Requirements'!E93="", "", 'Partner Hosted FTR Requirements'!E93)</f>
        <v/>
      </c>
      <c r="E28" s="79" t="str">
        <f>'Partner Hosted FTR Requirements'!E94</f>
        <v/>
      </c>
    </row>
    <row r="29" spans="1:5" ht="62" thickTop="1" thickBot="1" x14ac:dyDescent="0.25">
      <c r="A29" s="80" t="s">
        <v>39</v>
      </c>
      <c r="B29" s="81" t="s">
        <v>215</v>
      </c>
      <c r="C29" s="82" t="str">
        <f>'Partner Hosted FTR Requirements'!C98</f>
        <v/>
      </c>
      <c r="D29" s="161" t="str">
        <f>IF('Partner Hosted FTR Requirements'!E98="", "", 'Partner Hosted FTR Requirements'!E98)</f>
        <v/>
      </c>
      <c r="E29" s="79" t="str">
        <f>'Partner Hosted FTR Requirements'!E99</f>
        <v/>
      </c>
    </row>
    <row r="30" spans="1:5" ht="102" thickTop="1" thickBot="1" x14ac:dyDescent="0.25">
      <c r="A30" s="76" t="s">
        <v>40</v>
      </c>
      <c r="B30" s="77" t="s">
        <v>216</v>
      </c>
      <c r="C30" s="78" t="str">
        <f>'Partner Hosted FTR Requirements'!C100</f>
        <v/>
      </c>
      <c r="D30" s="160" t="str">
        <f>IF('Partner Hosted FTR Requirements'!E100="", "", 'Partner Hosted FTR Requirements'!E100)</f>
        <v/>
      </c>
      <c r="E30" s="79" t="str">
        <f>'Partner Hosted FTR Requirements'!E101&amp; CHAR(10) &amp;'Partner Hosted FTR Requirements'!E102</f>
        <v xml:space="preserve">
</v>
      </c>
    </row>
    <row r="31" spans="1:5" ht="42" thickTop="1" thickBot="1" x14ac:dyDescent="0.25">
      <c r="A31" s="80" t="s">
        <v>42</v>
      </c>
      <c r="B31" s="81" t="s">
        <v>217</v>
      </c>
      <c r="C31" s="82" t="str">
        <f>'Partner Hosted FTR Requirements'!C106</f>
        <v/>
      </c>
      <c r="D31" s="161" t="str">
        <f>IF('Partner Hosted FTR Requirements'!E106="", "", 'Partner Hosted FTR Requirements'!E106)</f>
        <v/>
      </c>
      <c r="E31" s="79" t="str">
        <f>'Partner Hosted FTR Requirements'!E107</f>
        <v/>
      </c>
    </row>
    <row r="32" spans="1:5" ht="42" thickTop="1" thickBot="1" x14ac:dyDescent="0.25">
      <c r="A32" s="76" t="s">
        <v>43</v>
      </c>
      <c r="B32" s="77" t="s">
        <v>218</v>
      </c>
      <c r="C32" s="78" t="str">
        <f>'Partner Hosted FTR Requirements'!C108</f>
        <v/>
      </c>
      <c r="D32" s="160" t="str">
        <f>IF('Partner Hosted FTR Requirements'!E108="", "", 'Partner Hosted FTR Requirements'!E108)</f>
        <v/>
      </c>
      <c r="E32" s="79" t="str">
        <f>'Partner Hosted FTR Requirements'!E109</f>
        <v/>
      </c>
    </row>
    <row r="33" spans="1:5" ht="82" thickTop="1" thickBot="1" x14ac:dyDescent="0.25">
      <c r="A33" s="80" t="s">
        <v>44</v>
      </c>
      <c r="B33" s="81" t="s">
        <v>219</v>
      </c>
      <c r="C33" s="82" t="str">
        <f>'Partner Hosted FTR Requirements'!C110</f>
        <v/>
      </c>
      <c r="D33" s="161" t="str">
        <f>IF('Partner Hosted FTR Requirements'!E110="", "", 'Partner Hosted FTR Requirements'!E110)</f>
        <v/>
      </c>
      <c r="E33" s="79" t="str">
        <f>'Partner Hosted FTR Requirements'!E111</f>
        <v/>
      </c>
    </row>
    <row r="34" spans="1:5" ht="82" thickTop="1" thickBot="1" x14ac:dyDescent="0.25">
      <c r="A34" s="76" t="s">
        <v>45</v>
      </c>
      <c r="B34" s="77" t="s">
        <v>220</v>
      </c>
      <c r="C34" s="78" t="str">
        <f>'Partner Hosted FTR Requirements'!C112</f>
        <v/>
      </c>
      <c r="D34" s="160" t="str">
        <f>IF('Partner Hosted FTR Requirements'!E112="", "", 'Partner Hosted FTR Requirements'!E112)</f>
        <v/>
      </c>
      <c r="E34" s="79" t="str">
        <f>'Partner Hosted FTR Requirements'!E113</f>
        <v/>
      </c>
    </row>
    <row r="35" spans="1:5" ht="102" thickTop="1" thickBot="1" x14ac:dyDescent="0.25">
      <c r="A35" s="80" t="s">
        <v>46</v>
      </c>
      <c r="B35" s="81" t="s">
        <v>221</v>
      </c>
      <c r="C35" s="82" t="str">
        <f>'Partner Hosted FTR Requirements'!C114</f>
        <v/>
      </c>
      <c r="D35" s="161" t="str">
        <f>IF('Partner Hosted FTR Requirements'!E114="", "", 'Partner Hosted FTR Requirements'!E114)</f>
        <v/>
      </c>
      <c r="E35" s="79" t="str">
        <f>'Partner Hosted FTR Requirements'!E115&amp; CHAR(10) &amp;'Partner Hosted FTR Requirements'!E116</f>
        <v xml:space="preserve">
</v>
      </c>
    </row>
    <row r="36" spans="1:5" ht="42" thickTop="1" thickBot="1" x14ac:dyDescent="0.25">
      <c r="A36" s="76" t="s">
        <v>47</v>
      </c>
      <c r="B36" s="77" t="s">
        <v>222</v>
      </c>
      <c r="C36" s="78" t="str">
        <f>'Partner Hosted FTR Requirements'!C117</f>
        <v/>
      </c>
      <c r="D36" s="160" t="str">
        <f>IF('Partner Hosted FTR Requirements'!E117="", "", 'Partner Hosted FTR Requirements'!E117)</f>
        <v/>
      </c>
      <c r="E36" s="79" t="str">
        <f>'Partner Hosted FTR Requirements'!E118</f>
        <v/>
      </c>
    </row>
    <row r="37" spans="1:5" ht="62" thickTop="1" thickBot="1" x14ac:dyDescent="0.25">
      <c r="A37" s="80" t="s">
        <v>49</v>
      </c>
      <c r="B37" s="81" t="s">
        <v>203</v>
      </c>
      <c r="C37" s="82" t="str">
        <f>'Partner Hosted FTR Requirements'!C122</f>
        <v/>
      </c>
      <c r="D37" s="161" t="str">
        <f>IF('Partner Hosted FTR Requirements'!E122="", "", 'Partner Hosted FTR Requirements'!E122)</f>
        <v/>
      </c>
      <c r="E37" s="79" t="str">
        <f>'Partner Hosted FTR Requirements'!E123</f>
        <v/>
      </c>
    </row>
    <row r="38" spans="1:5" ht="42" thickTop="1" thickBot="1" x14ac:dyDescent="0.25">
      <c r="A38" s="76" t="s">
        <v>51</v>
      </c>
      <c r="B38" s="77" t="s">
        <v>364</v>
      </c>
      <c r="C38" s="78" t="str">
        <f>'Partner Hosted FTR Requirements'!C128</f>
        <v/>
      </c>
      <c r="D38" s="160" t="str">
        <f>IF('Partner Hosted FTR Requirements'!E128="", "", 'Partner Hosted FTR Requirements'!E128)</f>
        <v/>
      </c>
      <c r="E38" s="79" t="str">
        <f>'Partner Hosted FTR Requirements'!E129</f>
        <v/>
      </c>
    </row>
    <row r="39" spans="1:5" ht="82" thickTop="1" thickBot="1" x14ac:dyDescent="0.25">
      <c r="A39" s="80" t="s">
        <v>52</v>
      </c>
      <c r="B39" s="81" t="s">
        <v>204</v>
      </c>
      <c r="C39" s="82" t="str">
        <f>'Partner Hosted FTR Requirements'!C130</f>
        <v/>
      </c>
      <c r="D39" s="161" t="str">
        <f>IF('Partner Hosted FTR Requirements'!E130="", "", 'Partner Hosted FTR Requirements'!E130)</f>
        <v/>
      </c>
      <c r="E39" s="79" t="str">
        <f>'Partner Hosted FTR Requirements'!E131</f>
        <v/>
      </c>
    </row>
    <row r="40" spans="1:5" ht="62" thickTop="1" thickBot="1" x14ac:dyDescent="0.25">
      <c r="A40" s="76" t="s">
        <v>53</v>
      </c>
      <c r="B40" s="77" t="s">
        <v>223</v>
      </c>
      <c r="C40" s="78" t="str">
        <f>'Partner Hosted FTR Requirements'!C132</f>
        <v/>
      </c>
      <c r="D40" s="160" t="str">
        <f>IF('Partner Hosted FTR Requirements'!E132="", "", 'Partner Hosted FTR Requirements'!E132)</f>
        <v/>
      </c>
      <c r="E40" s="79" t="str">
        <f>'Partner Hosted FTR Requirements'!E133</f>
        <v/>
      </c>
    </row>
    <row r="41" spans="1:5" ht="102" thickTop="1" thickBot="1" x14ac:dyDescent="0.25">
      <c r="A41" s="80" t="s">
        <v>54</v>
      </c>
      <c r="B41" s="81" t="s">
        <v>224</v>
      </c>
      <c r="C41" s="82" t="str">
        <f>'Partner Hosted FTR Requirements'!C134</f>
        <v/>
      </c>
      <c r="D41" s="161" t="str">
        <f>IF('Partner Hosted FTR Requirements'!E134="", "", 'Partner Hosted FTR Requirements'!E134)</f>
        <v/>
      </c>
      <c r="E41" s="79" t="str">
        <f>'Partner Hosted FTR Requirements'!E135</f>
        <v/>
      </c>
    </row>
    <row r="42" spans="1:5" ht="82" thickTop="1" thickBot="1" x14ac:dyDescent="0.25">
      <c r="A42" s="76" t="s">
        <v>55</v>
      </c>
      <c r="B42" s="77" t="s">
        <v>225</v>
      </c>
      <c r="C42" s="78" t="str">
        <f>'Partner Hosted FTR Requirements'!C136</f>
        <v/>
      </c>
      <c r="D42" s="160" t="str">
        <f>IF('Partner Hosted FTR Requirements'!E136="", "", 'Partner Hosted FTR Requirements'!E136)</f>
        <v/>
      </c>
      <c r="E42" s="79" t="str">
        <f>'Partner Hosted FTR Requirements'!E137</f>
        <v/>
      </c>
    </row>
    <row r="43" spans="1:5" ht="82" thickTop="1" thickBot="1" x14ac:dyDescent="0.25">
      <c r="A43" s="80" t="s">
        <v>56</v>
      </c>
      <c r="B43" s="81" t="s">
        <v>226</v>
      </c>
      <c r="C43" s="82" t="str">
        <f>'Partner Hosted FTR Requirements'!C138</f>
        <v/>
      </c>
      <c r="D43" s="161" t="str">
        <f>IF('Partner Hosted FTR Requirements'!E138="", "", 'Partner Hosted FTR Requirements'!E138)</f>
        <v/>
      </c>
      <c r="E43" s="79" t="str">
        <f>'Partner Hosted FTR Requirements'!E139</f>
        <v/>
      </c>
    </row>
    <row r="44" spans="1:5" ht="62" thickTop="1" thickBot="1" x14ac:dyDescent="0.25">
      <c r="A44" s="76" t="s">
        <v>57</v>
      </c>
      <c r="B44" s="77" t="s">
        <v>227</v>
      </c>
      <c r="C44" s="78" t="str">
        <f>'Partner Hosted FTR Requirements'!C140</f>
        <v/>
      </c>
      <c r="D44" s="160" t="str">
        <f>IF('Partner Hosted FTR Requirements'!E140="", "", 'Partner Hosted FTR Requirements'!E140)</f>
        <v/>
      </c>
      <c r="E44" s="79" t="str">
        <f>'Partner Hosted FTR Requirements'!E141</f>
        <v/>
      </c>
    </row>
    <row r="45" spans="1:5" ht="62" thickTop="1" thickBot="1" x14ac:dyDescent="0.25">
      <c r="A45" s="80" t="s">
        <v>59</v>
      </c>
      <c r="B45" s="81" t="s">
        <v>205</v>
      </c>
      <c r="C45" s="82" t="str">
        <f>'Partner Hosted FTR Requirements'!C146</f>
        <v/>
      </c>
      <c r="D45" s="161" t="str">
        <f>IF('Partner Hosted FTR Requirements'!E146="", "", 'Partner Hosted FTR Requirements'!E146)</f>
        <v/>
      </c>
      <c r="E45" s="79" t="str">
        <f>'Partner Hosted FTR Requirements'!E147</f>
        <v/>
      </c>
    </row>
    <row r="46" spans="1:5" ht="42" thickTop="1" thickBot="1" x14ac:dyDescent="0.25">
      <c r="A46" s="76" t="s">
        <v>60</v>
      </c>
      <c r="B46" s="77" t="s">
        <v>206</v>
      </c>
      <c r="C46" s="78" t="str">
        <f>'Partner Hosted FTR Requirements'!C148</f>
        <v/>
      </c>
      <c r="D46" s="160" t="str">
        <f>IF('Partner Hosted FTR Requirements'!E148="", "", 'Partner Hosted FTR Requirements'!E148)</f>
        <v/>
      </c>
      <c r="E46" s="79" t="str">
        <f>'Partner Hosted FTR Requirements'!E149</f>
        <v/>
      </c>
    </row>
    <row r="47" spans="1:5" ht="62" thickTop="1" thickBot="1" x14ac:dyDescent="0.25">
      <c r="A47" s="80" t="s">
        <v>62</v>
      </c>
      <c r="B47" s="81" t="s">
        <v>228</v>
      </c>
      <c r="C47" s="82" t="str">
        <f>'Partner Hosted FTR Requirements'!C150</f>
        <v/>
      </c>
      <c r="D47" s="161" t="str">
        <f>IF('Partner Hosted FTR Requirements'!E150="", "", 'Partner Hosted FTR Requirements'!E150)</f>
        <v/>
      </c>
      <c r="E47" s="79" t="str">
        <f>'Partner Hosted FTR Requirements'!E151</f>
        <v/>
      </c>
    </row>
    <row r="48" spans="1:5" ht="102" thickTop="1" thickBot="1" x14ac:dyDescent="0.25">
      <c r="A48" s="76" t="s">
        <v>65</v>
      </c>
      <c r="B48" s="77" t="s">
        <v>229</v>
      </c>
      <c r="C48" s="78" t="str">
        <f>'Partner Hosted FTR Requirements'!C155</f>
        <v/>
      </c>
      <c r="D48" s="160" t="str">
        <f>IF('Partner Hosted FTR Requirements'!E155="", "", 'Partner Hosted FTR Requirements'!E155)</f>
        <v/>
      </c>
      <c r="E48" s="79" t="str">
        <f>'Partner Hosted FTR Requirements'!E156&amp; CHAR(10) &amp;'Partner Hosted FTR Requirements'!E157</f>
        <v xml:space="preserve">
</v>
      </c>
    </row>
    <row r="49" ht="16" thickTop="1" x14ac:dyDescent="0.2"/>
  </sheetData>
  <sheetProtection algorithmName="SHA-512" hashValue="JiONX72tNx/Eppw6DPnCH26DSNq1LbMrVBfxQSy+5RQ+2iOhvFwWvCEQAs8qQBpay6Hqi7dq4+OAmVwgXQ2Vlw==" saltValue="Gimn2ELJdwZ85YiY0prVUw==" spinCount="100000" sheet="1" selectLockedCells="1" selectUnlockedCells="1"/>
  <mergeCells count="1">
    <mergeCell ref="A1:D1"/>
  </mergeCells>
  <conditionalFormatting sqref="B11">
    <cfRule type="expression" dxfId="70" priority="4" stopIfTrue="1">
      <formula>$E11="No"</formula>
    </cfRule>
  </conditionalFormatting>
  <conditionalFormatting sqref="E4:E48">
    <cfRule type="expression" dxfId="69" priority="1" stopIfTrue="1">
      <formula>$C4="NA"</formula>
    </cfRule>
    <cfRule type="expression" dxfId="68" priority="2" stopIfTrue="1">
      <formula>$C4="Yes"</formula>
    </cfRule>
    <cfRule type="expression" dxfId="67" priority="3" stopIfTrue="1">
      <formula>$C4="No"</formula>
    </cfRule>
  </conditionalFormatting>
  <dataValidations count="1">
    <dataValidation sqref="D5:D48 C1:C1048576" xr:uid="{00000000-0002-0000-0300-000000000000}"/>
  </dataValidations>
  <pageMargins left="0.7" right="0.7" top="0.75" bottom="0.75" header="0.3" footer="0.3"/>
  <pageSetup orientation="portrait" horizontalDpi="4294967295" verticalDpi="4294967295" r:id="rId1"/>
  <ignoredErrors>
    <ignoredError sqref="E28"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1F9C-EE83-4A82-9A04-4A977CEBCF52}">
  <sheetPr>
    <tabColor rgb="FF00B0F0"/>
  </sheetPr>
  <dimension ref="A1:G46"/>
  <sheetViews>
    <sheetView workbookViewId="0">
      <pane ySplit="2" topLeftCell="A3" activePane="bottomLeft" state="frozen"/>
      <selection pane="bottomLeft" activeCell="A36" sqref="A36:A42"/>
    </sheetView>
  </sheetViews>
  <sheetFormatPr baseColWidth="10" defaultColWidth="8.83203125" defaultRowHeight="16" x14ac:dyDescent="0.2"/>
  <cols>
    <col min="1" max="1" width="13.1640625" bestFit="1" customWidth="1"/>
    <col min="2" max="2" width="31" customWidth="1"/>
    <col min="3" max="3" width="54.6640625" customWidth="1"/>
    <col min="4" max="4" width="52.83203125" customWidth="1"/>
    <col min="5" max="5" width="34.83203125" customWidth="1"/>
    <col min="6" max="6" width="37" customWidth="1"/>
    <col min="7" max="7" width="49.1640625" customWidth="1"/>
  </cols>
  <sheetData>
    <row r="1" spans="1:7" ht="90" customHeight="1" x14ac:dyDescent="0.25">
      <c r="A1" s="184" t="s">
        <v>400</v>
      </c>
      <c r="B1" s="184"/>
      <c r="C1" s="184"/>
      <c r="D1" s="184"/>
      <c r="E1" s="184"/>
      <c r="F1" s="187"/>
    </row>
    <row r="2" spans="1:7" ht="21" thickBot="1" x14ac:dyDescent="0.3">
      <c r="A2" s="155" t="s">
        <v>0</v>
      </c>
      <c r="B2" s="155" t="s">
        <v>1</v>
      </c>
      <c r="C2" s="156" t="s">
        <v>402</v>
      </c>
      <c r="D2" s="156" t="s">
        <v>401</v>
      </c>
      <c r="E2" s="156" t="s">
        <v>623</v>
      </c>
      <c r="F2" s="155" t="s">
        <v>403</v>
      </c>
      <c r="G2" s="155" t="s">
        <v>404</v>
      </c>
    </row>
    <row r="3" spans="1:7" ht="409.6" thickTop="1" x14ac:dyDescent="0.2">
      <c r="A3" s="167" t="s">
        <v>3</v>
      </c>
      <c r="B3" s="166" t="s">
        <v>201</v>
      </c>
      <c r="C3" s="166" t="s">
        <v>642</v>
      </c>
      <c r="D3" s="166" t="s">
        <v>640</v>
      </c>
      <c r="E3" s="166" t="s">
        <v>639</v>
      </c>
      <c r="F3" s="166" t="s">
        <v>405</v>
      </c>
      <c r="G3" s="166" t="s">
        <v>638</v>
      </c>
    </row>
    <row r="4" spans="1:7" ht="260" x14ac:dyDescent="0.2">
      <c r="A4" s="169" t="s">
        <v>5</v>
      </c>
      <c r="B4" s="168" t="s">
        <v>637</v>
      </c>
      <c r="C4" s="168" t="s">
        <v>407</v>
      </c>
      <c r="D4" s="168" t="s">
        <v>474</v>
      </c>
      <c r="E4" s="174" t="s">
        <v>409</v>
      </c>
      <c r="F4" s="168" t="s">
        <v>410</v>
      </c>
      <c r="G4" s="168" t="s">
        <v>408</v>
      </c>
    </row>
    <row r="5" spans="1:7" ht="80" x14ac:dyDescent="0.2">
      <c r="A5" s="167" t="s">
        <v>7</v>
      </c>
      <c r="B5" s="166" t="s">
        <v>199</v>
      </c>
      <c r="C5" s="166" t="s">
        <v>411</v>
      </c>
      <c r="D5" s="166" t="s">
        <v>412</v>
      </c>
      <c r="E5" s="173" t="s">
        <v>414</v>
      </c>
      <c r="F5" s="173" t="s">
        <v>415</v>
      </c>
      <c r="G5" s="166" t="s">
        <v>413</v>
      </c>
    </row>
    <row r="6" spans="1:7" ht="158.5" customHeight="1" x14ac:dyDescent="0.2">
      <c r="A6" s="171" t="s">
        <v>198</v>
      </c>
      <c r="B6" s="170" t="s">
        <v>197</v>
      </c>
      <c r="C6" s="170" t="s">
        <v>417</v>
      </c>
      <c r="D6" s="170" t="s">
        <v>416</v>
      </c>
      <c r="E6" s="172" t="s">
        <v>418</v>
      </c>
      <c r="F6" s="170" t="s">
        <v>419</v>
      </c>
      <c r="G6" s="170" t="s">
        <v>420</v>
      </c>
    </row>
    <row r="7" spans="1:7" ht="295" customHeight="1" x14ac:dyDescent="0.2">
      <c r="A7" s="167" t="s">
        <v>9</v>
      </c>
      <c r="B7" s="166" t="s">
        <v>196</v>
      </c>
      <c r="C7" s="166" t="s">
        <v>636</v>
      </c>
      <c r="D7" s="166" t="s">
        <v>635</v>
      </c>
      <c r="E7" s="166" t="s">
        <v>634</v>
      </c>
      <c r="F7" s="166" t="s">
        <v>421</v>
      </c>
      <c r="G7" s="166" t="s">
        <v>422</v>
      </c>
    </row>
    <row r="8" spans="1:7" ht="80" x14ac:dyDescent="0.2">
      <c r="A8" s="167" t="s">
        <v>653</v>
      </c>
      <c r="B8" s="166" t="s">
        <v>450</v>
      </c>
      <c r="C8" s="166" t="s">
        <v>423</v>
      </c>
      <c r="D8" s="166" t="s">
        <v>424</v>
      </c>
      <c r="E8" s="166" t="s">
        <v>425</v>
      </c>
      <c r="F8" s="166" t="s">
        <v>426</v>
      </c>
      <c r="G8" s="166" t="s">
        <v>427</v>
      </c>
    </row>
    <row r="9" spans="1:7" ht="269" customHeight="1" x14ac:dyDescent="0.2">
      <c r="A9" s="171" t="s">
        <v>10</v>
      </c>
      <c r="B9" s="135" t="s">
        <v>353</v>
      </c>
      <c r="C9" s="170" t="s">
        <v>428</v>
      </c>
      <c r="D9" s="135" t="s">
        <v>429</v>
      </c>
      <c r="E9" s="170" t="s">
        <v>430</v>
      </c>
      <c r="F9" s="170" t="s">
        <v>431</v>
      </c>
      <c r="G9" s="135" t="s">
        <v>432</v>
      </c>
    </row>
    <row r="10" spans="1:7" ht="80" x14ac:dyDescent="0.2">
      <c r="A10" s="167" t="s">
        <v>15</v>
      </c>
      <c r="B10" s="166" t="s">
        <v>207</v>
      </c>
      <c r="C10" s="166" t="s">
        <v>433</v>
      </c>
      <c r="D10" s="166" t="s">
        <v>436</v>
      </c>
      <c r="E10" s="166" t="s">
        <v>434</v>
      </c>
      <c r="F10" s="166" t="s">
        <v>435</v>
      </c>
      <c r="G10" s="166" t="s">
        <v>437</v>
      </c>
    </row>
    <row r="11" spans="1:7" ht="100" x14ac:dyDescent="0.2">
      <c r="A11" s="171" t="s">
        <v>16</v>
      </c>
      <c r="B11" s="170" t="s">
        <v>195</v>
      </c>
      <c r="C11" s="170" t="s">
        <v>438</v>
      </c>
      <c r="D11" s="170" t="s">
        <v>439</v>
      </c>
      <c r="E11" s="170" t="s">
        <v>440</v>
      </c>
      <c r="F11" s="170" t="s">
        <v>441</v>
      </c>
      <c r="G11" s="170" t="s">
        <v>442</v>
      </c>
    </row>
    <row r="12" spans="1:7" ht="340" x14ac:dyDescent="0.2">
      <c r="A12" s="167" t="s">
        <v>20</v>
      </c>
      <c r="B12" s="166" t="s">
        <v>449</v>
      </c>
      <c r="C12" s="166" t="s">
        <v>443</v>
      </c>
      <c r="D12" s="166" t="s">
        <v>444</v>
      </c>
      <c r="E12" s="166" t="s">
        <v>445</v>
      </c>
      <c r="F12" s="166" t="s">
        <v>446</v>
      </c>
      <c r="G12" s="166" t="s">
        <v>447</v>
      </c>
    </row>
    <row r="13" spans="1:7" ht="361.5" customHeight="1" x14ac:dyDescent="0.2">
      <c r="A13" s="171" t="s">
        <v>21</v>
      </c>
      <c r="B13" s="170" t="s">
        <v>448</v>
      </c>
      <c r="C13" s="170" t="s">
        <v>453</v>
      </c>
      <c r="D13" s="170" t="s">
        <v>456</v>
      </c>
      <c r="E13" s="170" t="s">
        <v>454</v>
      </c>
      <c r="F13" s="170" t="s">
        <v>455</v>
      </c>
      <c r="G13" s="170" t="s">
        <v>457</v>
      </c>
    </row>
    <row r="14" spans="1:7" ht="200" x14ac:dyDescent="0.2">
      <c r="A14" s="167" t="s">
        <v>22</v>
      </c>
      <c r="B14" s="166" t="s">
        <v>451</v>
      </c>
      <c r="C14" s="166" t="s">
        <v>459</v>
      </c>
      <c r="D14" s="166" t="s">
        <v>458</v>
      </c>
      <c r="E14" s="166" t="s">
        <v>460</v>
      </c>
      <c r="F14" s="166" t="s">
        <v>461</v>
      </c>
      <c r="G14" s="166" t="s">
        <v>462</v>
      </c>
    </row>
    <row r="15" spans="1:7" ht="200" x14ac:dyDescent="0.2">
      <c r="A15" s="171" t="s">
        <v>23</v>
      </c>
      <c r="B15" s="170" t="s">
        <v>194</v>
      </c>
      <c r="C15" s="170" t="s">
        <v>464</v>
      </c>
      <c r="D15" s="170" t="s">
        <v>463</v>
      </c>
      <c r="E15" s="170" t="s">
        <v>465</v>
      </c>
      <c r="F15" s="170" t="s">
        <v>466</v>
      </c>
      <c r="G15" s="170" t="s">
        <v>467</v>
      </c>
    </row>
    <row r="16" spans="1:7" ht="260" x14ac:dyDescent="0.2">
      <c r="A16" s="167" t="s">
        <v>24</v>
      </c>
      <c r="B16" s="166" t="s">
        <v>193</v>
      </c>
      <c r="C16" s="166" t="s">
        <v>469</v>
      </c>
      <c r="D16" s="166" t="s">
        <v>468</v>
      </c>
      <c r="E16" s="166" t="s">
        <v>470</v>
      </c>
      <c r="F16" s="166" t="s">
        <v>471</v>
      </c>
      <c r="G16" s="166" t="s">
        <v>472</v>
      </c>
    </row>
    <row r="17" spans="1:7" ht="340" x14ac:dyDescent="0.2">
      <c r="A17" s="171" t="s">
        <v>25</v>
      </c>
      <c r="B17" s="170" t="s">
        <v>452</v>
      </c>
      <c r="C17" s="170" t="s">
        <v>475</v>
      </c>
      <c r="D17" s="170" t="s">
        <v>473</v>
      </c>
      <c r="E17" s="170" t="s">
        <v>476</v>
      </c>
      <c r="F17" s="170" t="s">
        <v>477</v>
      </c>
      <c r="G17" s="170" t="s">
        <v>478</v>
      </c>
    </row>
    <row r="18" spans="1:7" ht="220" x14ac:dyDescent="0.2">
      <c r="A18" s="167" t="s">
        <v>26</v>
      </c>
      <c r="B18" s="166" t="s">
        <v>192</v>
      </c>
      <c r="C18" s="166" t="s">
        <v>479</v>
      </c>
      <c r="D18" s="166" t="s">
        <v>480</v>
      </c>
      <c r="E18" s="166" t="s">
        <v>481</v>
      </c>
      <c r="F18" s="166" t="s">
        <v>482</v>
      </c>
      <c r="G18" s="166" t="s">
        <v>483</v>
      </c>
    </row>
    <row r="19" spans="1:7" ht="160" x14ac:dyDescent="0.2">
      <c r="A19" s="171" t="s">
        <v>28</v>
      </c>
      <c r="B19" s="170" t="s">
        <v>191</v>
      </c>
      <c r="C19" s="170" t="s">
        <v>485</v>
      </c>
      <c r="D19" s="170" t="s">
        <v>484</v>
      </c>
      <c r="E19" s="170" t="s">
        <v>486</v>
      </c>
      <c r="F19" s="170" t="s">
        <v>487</v>
      </c>
      <c r="G19" s="170" t="s">
        <v>488</v>
      </c>
    </row>
    <row r="20" spans="1:7" ht="409.6" x14ac:dyDescent="0.2">
      <c r="A20" s="167" t="s">
        <v>29</v>
      </c>
      <c r="B20" s="166" t="s">
        <v>208</v>
      </c>
      <c r="C20" s="166" t="s">
        <v>489</v>
      </c>
      <c r="D20" s="166" t="s">
        <v>490</v>
      </c>
      <c r="E20" s="166" t="s">
        <v>491</v>
      </c>
      <c r="F20" s="166" t="s">
        <v>492</v>
      </c>
      <c r="G20" s="166" t="s">
        <v>493</v>
      </c>
    </row>
    <row r="21" spans="1:7" ht="220" x14ac:dyDescent="0.2">
      <c r="A21" s="171" t="s">
        <v>30</v>
      </c>
      <c r="B21" s="170" t="s">
        <v>209</v>
      </c>
      <c r="C21" s="170" t="s">
        <v>495</v>
      </c>
      <c r="D21" s="170" t="s">
        <v>494</v>
      </c>
      <c r="E21" s="170" t="s">
        <v>496</v>
      </c>
      <c r="F21" s="170" t="s">
        <v>497</v>
      </c>
      <c r="G21" s="170" t="s">
        <v>498</v>
      </c>
    </row>
    <row r="22" spans="1:7" ht="180" x14ac:dyDescent="0.2">
      <c r="A22" s="167" t="s">
        <v>31</v>
      </c>
      <c r="B22" s="166" t="s">
        <v>210</v>
      </c>
      <c r="C22" s="166" t="s">
        <v>499</v>
      </c>
      <c r="D22" s="166" t="s">
        <v>500</v>
      </c>
      <c r="E22" s="166" t="s">
        <v>501</v>
      </c>
      <c r="F22" s="166" t="s">
        <v>502</v>
      </c>
      <c r="G22" s="166" t="s">
        <v>503</v>
      </c>
    </row>
    <row r="23" spans="1:7" ht="380" x14ac:dyDescent="0.2">
      <c r="A23" s="171" t="s">
        <v>32</v>
      </c>
      <c r="B23" s="170" t="s">
        <v>211</v>
      </c>
      <c r="C23" s="170" t="s">
        <v>505</v>
      </c>
      <c r="D23" s="170" t="s">
        <v>504</v>
      </c>
      <c r="E23" s="170" t="s">
        <v>506</v>
      </c>
      <c r="F23" s="170" t="s">
        <v>507</v>
      </c>
      <c r="G23" s="170" t="s">
        <v>508</v>
      </c>
    </row>
    <row r="24" spans="1:7" ht="160" x14ac:dyDescent="0.2">
      <c r="A24" s="167" t="s">
        <v>34</v>
      </c>
      <c r="B24" s="166" t="s">
        <v>212</v>
      </c>
      <c r="C24" s="166" t="s">
        <v>510</v>
      </c>
      <c r="D24" s="166" t="s">
        <v>509</v>
      </c>
      <c r="E24" s="166" t="s">
        <v>511</v>
      </c>
      <c r="F24" s="166" t="s">
        <v>512</v>
      </c>
      <c r="G24" s="166" t="s">
        <v>513</v>
      </c>
    </row>
    <row r="25" spans="1:7" ht="320" x14ac:dyDescent="0.2">
      <c r="A25" s="169" t="s">
        <v>36</v>
      </c>
      <c r="B25" s="168" t="s">
        <v>213</v>
      </c>
      <c r="C25" s="168" t="s">
        <v>514</v>
      </c>
      <c r="D25" s="168" t="s">
        <v>515</v>
      </c>
      <c r="E25" s="168" t="s">
        <v>517</v>
      </c>
      <c r="F25" s="168" t="s">
        <v>519</v>
      </c>
      <c r="G25" s="168" t="s">
        <v>516</v>
      </c>
    </row>
    <row r="26" spans="1:7" ht="120" x14ac:dyDescent="0.2">
      <c r="A26" s="167" t="s">
        <v>37</v>
      </c>
      <c r="B26" s="166" t="s">
        <v>214</v>
      </c>
      <c r="C26" s="166" t="s">
        <v>520</v>
      </c>
      <c r="D26" s="166" t="s">
        <v>521</v>
      </c>
      <c r="E26" s="166" t="s">
        <v>522</v>
      </c>
      <c r="F26" s="166" t="s">
        <v>518</v>
      </c>
      <c r="G26" s="166" t="s">
        <v>523</v>
      </c>
    </row>
    <row r="27" spans="1:7" ht="180" x14ac:dyDescent="0.2">
      <c r="A27" s="169" t="s">
        <v>39</v>
      </c>
      <c r="B27" s="168" t="s">
        <v>215</v>
      </c>
      <c r="C27" s="168" t="s">
        <v>524</v>
      </c>
      <c r="D27" s="168" t="s">
        <v>525</v>
      </c>
      <c r="E27" s="168" t="s">
        <v>526</v>
      </c>
      <c r="F27" s="168" t="s">
        <v>527</v>
      </c>
      <c r="G27" s="168" t="s">
        <v>528</v>
      </c>
    </row>
    <row r="28" spans="1:7" ht="180" x14ac:dyDescent="0.2">
      <c r="A28" s="167" t="s">
        <v>40</v>
      </c>
      <c r="B28" s="166" t="s">
        <v>216</v>
      </c>
      <c r="C28" s="166" t="s">
        <v>529</v>
      </c>
      <c r="D28" s="166" t="s">
        <v>530</v>
      </c>
      <c r="E28" s="166" t="s">
        <v>531</v>
      </c>
      <c r="F28" s="166" t="s">
        <v>532</v>
      </c>
      <c r="G28" s="166" t="s">
        <v>533</v>
      </c>
    </row>
    <row r="29" spans="1:7" ht="120" x14ac:dyDescent="0.2">
      <c r="A29" s="169" t="s">
        <v>42</v>
      </c>
      <c r="B29" s="168" t="s">
        <v>217</v>
      </c>
      <c r="C29" s="168" t="s">
        <v>534</v>
      </c>
      <c r="D29" s="168" t="s">
        <v>535</v>
      </c>
      <c r="E29" s="168" t="s">
        <v>536</v>
      </c>
      <c r="F29" s="168" t="s">
        <v>537</v>
      </c>
      <c r="G29" s="168" t="s">
        <v>538</v>
      </c>
    </row>
    <row r="30" spans="1:7" ht="120" x14ac:dyDescent="0.2">
      <c r="A30" s="167" t="s">
        <v>43</v>
      </c>
      <c r="B30" s="166" t="s">
        <v>218</v>
      </c>
      <c r="C30" s="166" t="s">
        <v>551</v>
      </c>
      <c r="D30" s="166" t="s">
        <v>539</v>
      </c>
      <c r="E30" s="166" t="s">
        <v>563</v>
      </c>
      <c r="F30" s="166" t="s">
        <v>564</v>
      </c>
      <c r="G30" s="166" t="s">
        <v>584</v>
      </c>
    </row>
    <row r="31" spans="1:7" ht="100" x14ac:dyDescent="0.2">
      <c r="A31" s="169" t="s">
        <v>44</v>
      </c>
      <c r="B31" s="168" t="s">
        <v>219</v>
      </c>
      <c r="C31" s="168" t="s">
        <v>552</v>
      </c>
      <c r="D31" s="168" t="s">
        <v>540</v>
      </c>
      <c r="E31" s="168" t="s">
        <v>565</v>
      </c>
      <c r="F31" s="168" t="s">
        <v>566</v>
      </c>
      <c r="G31" s="168" t="s">
        <v>585</v>
      </c>
    </row>
    <row r="32" spans="1:7" ht="74" customHeight="1" x14ac:dyDescent="0.2">
      <c r="A32" s="167" t="s">
        <v>45</v>
      </c>
      <c r="B32" s="166" t="s">
        <v>220</v>
      </c>
      <c r="C32" s="166" t="s">
        <v>553</v>
      </c>
      <c r="D32" s="166" t="s">
        <v>541</v>
      </c>
      <c r="E32" s="166" t="s">
        <v>567</v>
      </c>
      <c r="F32" s="166" t="s">
        <v>568</v>
      </c>
      <c r="G32" s="166" t="s">
        <v>586</v>
      </c>
    </row>
    <row r="33" spans="1:7" ht="92.5" customHeight="1" x14ac:dyDescent="0.2">
      <c r="A33" s="169" t="s">
        <v>46</v>
      </c>
      <c r="B33" s="168" t="s">
        <v>221</v>
      </c>
      <c r="C33" s="168" t="s">
        <v>554</v>
      </c>
      <c r="D33" s="168" t="s">
        <v>542</v>
      </c>
      <c r="E33" s="168" t="s">
        <v>569</v>
      </c>
      <c r="F33" s="168" t="s">
        <v>570</v>
      </c>
      <c r="G33" s="168" t="s">
        <v>406</v>
      </c>
    </row>
    <row r="34" spans="1:7" ht="37" customHeight="1" x14ac:dyDescent="0.2">
      <c r="A34" s="167" t="s">
        <v>47</v>
      </c>
      <c r="B34" s="166" t="s">
        <v>222</v>
      </c>
      <c r="C34" s="166" t="s">
        <v>555</v>
      </c>
      <c r="D34" s="166" t="s">
        <v>543</v>
      </c>
      <c r="E34" s="166" t="s">
        <v>571</v>
      </c>
      <c r="F34" s="166" t="s">
        <v>572</v>
      </c>
      <c r="G34" s="166" t="s">
        <v>406</v>
      </c>
    </row>
    <row r="35" spans="1:7" ht="200" x14ac:dyDescent="0.2">
      <c r="A35" s="169" t="s">
        <v>49</v>
      </c>
      <c r="B35" s="168" t="s">
        <v>203</v>
      </c>
      <c r="C35" s="168" t="s">
        <v>556</v>
      </c>
      <c r="D35" s="168" t="s">
        <v>544</v>
      </c>
      <c r="E35" s="168" t="s">
        <v>573</v>
      </c>
      <c r="F35" s="168" t="s">
        <v>574</v>
      </c>
      <c r="G35" s="168" t="s">
        <v>587</v>
      </c>
    </row>
    <row r="36" spans="1:7" ht="180" x14ac:dyDescent="0.2">
      <c r="A36" s="76" t="s">
        <v>51</v>
      </c>
      <c r="B36" s="166" t="s">
        <v>364</v>
      </c>
      <c r="C36" s="166" t="s">
        <v>557</v>
      </c>
      <c r="D36" s="166" t="s">
        <v>545</v>
      </c>
      <c r="E36" s="166" t="s">
        <v>575</v>
      </c>
      <c r="F36" s="166" t="s">
        <v>576</v>
      </c>
      <c r="G36" s="166" t="s">
        <v>588</v>
      </c>
    </row>
    <row r="37" spans="1:7" ht="92.5" customHeight="1" x14ac:dyDescent="0.2">
      <c r="A37" s="80" t="s">
        <v>52</v>
      </c>
      <c r="B37" s="168" t="s">
        <v>204</v>
      </c>
      <c r="C37" s="168" t="s">
        <v>558</v>
      </c>
      <c r="D37" s="168" t="s">
        <v>546</v>
      </c>
      <c r="E37" s="168" t="s">
        <v>577</v>
      </c>
      <c r="F37" s="168" t="s">
        <v>578</v>
      </c>
      <c r="G37" s="168" t="s">
        <v>589</v>
      </c>
    </row>
    <row r="38" spans="1:7" ht="180" x14ac:dyDescent="0.2">
      <c r="A38" s="76" t="s">
        <v>53</v>
      </c>
      <c r="B38" s="166" t="s">
        <v>223</v>
      </c>
      <c r="C38" s="166" t="s">
        <v>559</v>
      </c>
      <c r="D38" s="166" t="s">
        <v>547</v>
      </c>
      <c r="E38" s="166" t="s">
        <v>579</v>
      </c>
      <c r="F38" s="166" t="s">
        <v>580</v>
      </c>
      <c r="G38" s="166" t="s">
        <v>590</v>
      </c>
    </row>
    <row r="39" spans="1:7" ht="180" x14ac:dyDescent="0.2">
      <c r="A39" s="80" t="s">
        <v>54</v>
      </c>
      <c r="B39" s="168" t="s">
        <v>224</v>
      </c>
      <c r="C39" s="168" t="s">
        <v>560</v>
      </c>
      <c r="D39" s="168" t="s">
        <v>548</v>
      </c>
      <c r="E39" s="168" t="s">
        <v>581</v>
      </c>
      <c r="F39" s="168" t="s">
        <v>582</v>
      </c>
      <c r="G39" s="166" t="s">
        <v>590</v>
      </c>
    </row>
    <row r="40" spans="1:7" ht="180" x14ac:dyDescent="0.2">
      <c r="A40" s="76" t="s">
        <v>55</v>
      </c>
      <c r="B40" s="166" t="s">
        <v>225</v>
      </c>
      <c r="C40" s="166" t="s">
        <v>561</v>
      </c>
      <c r="D40" s="166" t="s">
        <v>549</v>
      </c>
      <c r="E40" s="166" t="s">
        <v>549</v>
      </c>
      <c r="F40" s="166" t="s">
        <v>583</v>
      </c>
      <c r="G40" s="166" t="s">
        <v>590</v>
      </c>
    </row>
    <row r="41" spans="1:7" ht="180" x14ac:dyDescent="0.2">
      <c r="A41" s="80" t="s">
        <v>56</v>
      </c>
      <c r="B41" s="168" t="s">
        <v>226</v>
      </c>
      <c r="C41" s="168" t="s">
        <v>562</v>
      </c>
      <c r="D41" s="168" t="s">
        <v>550</v>
      </c>
      <c r="E41" s="168" t="s">
        <v>591</v>
      </c>
      <c r="F41" s="168" t="s">
        <v>592</v>
      </c>
      <c r="G41" s="166" t="s">
        <v>590</v>
      </c>
    </row>
    <row r="42" spans="1:7" ht="80" x14ac:dyDescent="0.2">
      <c r="A42" s="76" t="s">
        <v>57</v>
      </c>
      <c r="B42" s="166" t="s">
        <v>227</v>
      </c>
      <c r="C42" s="166" t="s">
        <v>598</v>
      </c>
      <c r="D42" s="166" t="s">
        <v>593</v>
      </c>
      <c r="E42" s="166" t="s">
        <v>603</v>
      </c>
      <c r="F42" s="166" t="s">
        <v>607</v>
      </c>
      <c r="G42" s="166" t="s">
        <v>406</v>
      </c>
    </row>
    <row r="43" spans="1:7" ht="124.5" customHeight="1" x14ac:dyDescent="0.2">
      <c r="A43" s="169" t="s">
        <v>59</v>
      </c>
      <c r="B43" s="168" t="s">
        <v>205</v>
      </c>
      <c r="C43" s="168" t="s">
        <v>599</v>
      </c>
      <c r="D43" s="168" t="s">
        <v>594</v>
      </c>
      <c r="E43" s="168" t="s">
        <v>615</v>
      </c>
      <c r="F43" s="168" t="s">
        <v>608</v>
      </c>
      <c r="G43" s="168" t="s">
        <v>614</v>
      </c>
    </row>
    <row r="44" spans="1:7" ht="100" x14ac:dyDescent="0.2">
      <c r="A44" s="167" t="s">
        <v>60</v>
      </c>
      <c r="B44" s="166" t="s">
        <v>206</v>
      </c>
      <c r="C44" s="166" t="s">
        <v>600</v>
      </c>
      <c r="D44" s="166" t="s">
        <v>595</v>
      </c>
      <c r="E44" s="166" t="s">
        <v>604</v>
      </c>
      <c r="F44" s="166" t="s">
        <v>609</v>
      </c>
      <c r="G44" s="166" t="s">
        <v>406</v>
      </c>
    </row>
    <row r="45" spans="1:7" ht="100" x14ac:dyDescent="0.2">
      <c r="A45" s="169" t="s">
        <v>62</v>
      </c>
      <c r="B45" s="168" t="s">
        <v>228</v>
      </c>
      <c r="C45" s="168" t="s">
        <v>601</v>
      </c>
      <c r="D45" s="168" t="s">
        <v>596</v>
      </c>
      <c r="E45" s="168" t="s">
        <v>605</v>
      </c>
      <c r="F45" s="168" t="s">
        <v>610</v>
      </c>
      <c r="G45" s="168" t="s">
        <v>613</v>
      </c>
    </row>
    <row r="46" spans="1:7" ht="92.5" customHeight="1" x14ac:dyDescent="0.2">
      <c r="A46" s="167" t="s">
        <v>65</v>
      </c>
      <c r="B46" s="166" t="s">
        <v>229</v>
      </c>
      <c r="C46" s="166" t="s">
        <v>602</v>
      </c>
      <c r="D46" s="166" t="s">
        <v>597</v>
      </c>
      <c r="E46" s="166" t="s">
        <v>606</v>
      </c>
      <c r="F46" s="166" t="s">
        <v>611</v>
      </c>
      <c r="G46" s="166" t="s">
        <v>612</v>
      </c>
    </row>
  </sheetData>
  <sheetProtection deleteColumns="0" deleteRows="0"/>
  <mergeCells count="1">
    <mergeCell ref="A1:F1"/>
  </mergeCells>
  <conditionalFormatting sqref="B9">
    <cfRule type="expression" dxfId="66" priority="1" stopIfTrue="1">
      <formula>$E9="No"</formula>
    </cfRule>
  </conditionalFormatting>
  <conditionalFormatting sqref="D9">
    <cfRule type="expression" dxfId="65" priority="3" stopIfTrue="1">
      <formula>$E9="No"</formula>
    </cfRule>
  </conditionalFormatting>
  <conditionalFormatting sqref="G9">
    <cfRule type="expression" dxfId="64" priority="2" stopIfTrue="1">
      <formula>$E9="No"</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145"/>
  <sheetViews>
    <sheetView workbookViewId="0">
      <pane ySplit="1" topLeftCell="A2" activePane="bottomLeft" state="frozen"/>
      <selection pane="bottomLeft" activeCell="C4" sqref="C4"/>
    </sheetView>
  </sheetViews>
  <sheetFormatPr baseColWidth="10" defaultColWidth="8.83203125" defaultRowHeight="16" x14ac:dyDescent="0.2"/>
  <cols>
    <col min="1" max="1" width="20.33203125" customWidth="1"/>
    <col min="2" max="2" width="36.6640625" hidden="1" customWidth="1"/>
    <col min="3" max="3" width="48.6640625" customWidth="1"/>
    <col min="4" max="5" width="41.1640625" customWidth="1"/>
    <col min="7" max="7" width="43.33203125" customWidth="1"/>
  </cols>
  <sheetData>
    <row r="1" spans="1:8" s="2" customFormat="1" ht="27.5" customHeight="1" x14ac:dyDescent="0.25">
      <c r="A1" s="23" t="s">
        <v>86</v>
      </c>
      <c r="B1" s="23" t="s">
        <v>119</v>
      </c>
      <c r="C1" s="23" t="s">
        <v>84</v>
      </c>
      <c r="D1" s="23" t="s">
        <v>85</v>
      </c>
      <c r="E1" s="23" t="s">
        <v>141</v>
      </c>
    </row>
    <row r="2" spans="1:8" s="2" customFormat="1" ht="39" customHeight="1" x14ac:dyDescent="0.25">
      <c r="A2" s="6" t="s">
        <v>395</v>
      </c>
      <c r="B2" s="23"/>
      <c r="C2" s="7" t="s">
        <v>397</v>
      </c>
      <c r="D2" s="7" t="s">
        <v>399</v>
      </c>
      <c r="E2" s="6"/>
    </row>
    <row r="3" spans="1:8" ht="146" customHeight="1" x14ac:dyDescent="0.25">
      <c r="A3" s="6" t="s">
        <v>395</v>
      </c>
      <c r="B3" s="23"/>
      <c r="C3" s="176" t="s">
        <v>668</v>
      </c>
      <c r="D3" s="7" t="s">
        <v>669</v>
      </c>
      <c r="E3" s="6"/>
      <c r="F3" s="3"/>
      <c r="G3" s="3"/>
      <c r="H3" s="4"/>
    </row>
    <row r="4" spans="1:8" ht="146" customHeight="1" x14ac:dyDescent="0.25">
      <c r="A4" s="6" t="s">
        <v>658</v>
      </c>
      <c r="B4" s="23"/>
      <c r="C4" s="7" t="s">
        <v>660</v>
      </c>
      <c r="D4" s="7" t="s">
        <v>659</v>
      </c>
      <c r="E4" s="6"/>
      <c r="F4" s="3"/>
      <c r="G4" s="3"/>
      <c r="H4" s="4"/>
    </row>
    <row r="5" spans="1:8" x14ac:dyDescent="0.2">
      <c r="A5" s="5" t="s">
        <v>2</v>
      </c>
      <c r="B5" s="5"/>
      <c r="C5" s="5"/>
      <c r="D5" s="5"/>
      <c r="E5" s="5"/>
    </row>
    <row r="6" spans="1:8" x14ac:dyDescent="0.2">
      <c r="A6" s="6" t="s">
        <v>3</v>
      </c>
      <c r="B6" s="6"/>
      <c r="C6" s="7"/>
      <c r="D6" s="7"/>
      <c r="E6" s="7"/>
    </row>
    <row r="7" spans="1:8" ht="75" x14ac:dyDescent="0.2">
      <c r="A7" s="6" t="s">
        <v>66</v>
      </c>
      <c r="B7" s="6"/>
      <c r="C7" s="7" t="s">
        <v>389</v>
      </c>
      <c r="D7" s="20" t="s">
        <v>632</v>
      </c>
      <c r="E7" s="7"/>
    </row>
    <row r="8" spans="1:8" ht="60" x14ac:dyDescent="0.2">
      <c r="A8" s="6" t="s">
        <v>628</v>
      </c>
      <c r="B8" s="6"/>
      <c r="C8" s="7" t="s">
        <v>633</v>
      </c>
      <c r="D8" s="20" t="s">
        <v>630</v>
      </c>
      <c r="E8" s="7"/>
    </row>
    <row r="9" spans="1:8" ht="45" x14ac:dyDescent="0.2">
      <c r="A9" s="6" t="s">
        <v>629</v>
      </c>
      <c r="B9" s="6"/>
      <c r="C9" s="7" t="s">
        <v>641</v>
      </c>
      <c r="D9" s="20" t="s">
        <v>643</v>
      </c>
      <c r="E9" s="7"/>
    </row>
    <row r="10" spans="1:8" x14ac:dyDescent="0.2">
      <c r="A10" s="5" t="s">
        <v>4</v>
      </c>
      <c r="B10" s="5"/>
      <c r="C10" s="5"/>
      <c r="D10" s="5"/>
      <c r="E10" s="5"/>
    </row>
    <row r="11" spans="1:8" x14ac:dyDescent="0.2">
      <c r="A11" s="6" t="s">
        <v>5</v>
      </c>
      <c r="B11" s="6"/>
      <c r="C11" s="7"/>
      <c r="D11" s="7"/>
      <c r="E11" s="7"/>
    </row>
    <row r="12" spans="1:8" ht="90" x14ac:dyDescent="0.2">
      <c r="A12" s="6" t="s">
        <v>68</v>
      </c>
      <c r="B12" s="6"/>
      <c r="C12" s="7" t="s">
        <v>390</v>
      </c>
      <c r="D12" s="20" t="s">
        <v>384</v>
      </c>
      <c r="E12" s="7" t="s">
        <v>267</v>
      </c>
    </row>
    <row r="13" spans="1:8" x14ac:dyDescent="0.2">
      <c r="A13" s="5" t="s">
        <v>6</v>
      </c>
      <c r="B13" s="5"/>
      <c r="C13" s="9"/>
      <c r="D13" s="9"/>
      <c r="E13" s="9"/>
    </row>
    <row r="14" spans="1:8" ht="120" x14ac:dyDescent="0.2">
      <c r="A14" s="6" t="s">
        <v>375</v>
      </c>
      <c r="B14" s="6"/>
      <c r="C14" s="7" t="s">
        <v>379</v>
      </c>
      <c r="D14" s="7" t="s">
        <v>392</v>
      </c>
      <c r="E14" s="7"/>
    </row>
    <row r="15" spans="1:8" x14ac:dyDescent="0.2">
      <c r="A15" s="6" t="s">
        <v>7</v>
      </c>
      <c r="B15" s="6"/>
      <c r="C15" s="7"/>
      <c r="D15" s="7"/>
      <c r="E15" s="7"/>
    </row>
    <row r="16" spans="1:8" ht="30" x14ac:dyDescent="0.2">
      <c r="A16" s="6" t="s">
        <v>70</v>
      </c>
      <c r="B16" s="6"/>
      <c r="C16" s="7" t="s">
        <v>268</v>
      </c>
      <c r="D16" s="20" t="s">
        <v>384</v>
      </c>
      <c r="E16" s="7" t="s">
        <v>269</v>
      </c>
    </row>
    <row r="17" spans="1:5" ht="30" x14ac:dyDescent="0.2">
      <c r="A17" s="6" t="s">
        <v>295</v>
      </c>
      <c r="B17" s="6"/>
      <c r="C17" s="7" t="s">
        <v>268</v>
      </c>
      <c r="D17" s="20" t="s">
        <v>384</v>
      </c>
      <c r="E17" s="7"/>
    </row>
    <row r="18" spans="1:5" ht="36.5" customHeight="1" x14ac:dyDescent="0.2">
      <c r="A18" s="6" t="s">
        <v>198</v>
      </c>
      <c r="B18" s="6"/>
      <c r="C18" s="7"/>
      <c r="D18" s="20" t="s">
        <v>384</v>
      </c>
      <c r="E18" s="7"/>
    </row>
    <row r="19" spans="1:5" ht="30" x14ac:dyDescent="0.2">
      <c r="A19" s="6" t="s">
        <v>256</v>
      </c>
      <c r="B19" s="6"/>
      <c r="C19" s="7" t="s">
        <v>271</v>
      </c>
      <c r="D19" s="20" t="s">
        <v>384</v>
      </c>
      <c r="E19" s="7"/>
    </row>
    <row r="20" spans="1:5" ht="135" x14ac:dyDescent="0.2">
      <c r="A20" s="10" t="s">
        <v>8</v>
      </c>
      <c r="B20" s="10"/>
      <c r="C20" s="9"/>
      <c r="D20" s="9"/>
      <c r="E20" s="9"/>
    </row>
    <row r="21" spans="1:5" x14ac:dyDescent="0.2">
      <c r="A21" s="6" t="s">
        <v>9</v>
      </c>
      <c r="B21" s="6"/>
      <c r="C21" s="7"/>
      <c r="D21" s="7"/>
      <c r="E21" s="7"/>
    </row>
    <row r="22" spans="1:5" ht="30" x14ac:dyDescent="0.2">
      <c r="A22" s="11" t="s">
        <v>71</v>
      </c>
      <c r="B22" s="11"/>
      <c r="C22" s="20" t="s">
        <v>384</v>
      </c>
      <c r="D22" s="20" t="s">
        <v>391</v>
      </c>
      <c r="E22" s="7" t="s">
        <v>257</v>
      </c>
    </row>
    <row r="23" spans="1:5" x14ac:dyDescent="0.2">
      <c r="A23" s="6" t="s">
        <v>653</v>
      </c>
      <c r="B23" s="6"/>
      <c r="C23" s="7"/>
      <c r="D23" s="7"/>
      <c r="E23" s="7"/>
    </row>
    <row r="24" spans="1:5" ht="31.5" customHeight="1" x14ac:dyDescent="0.2">
      <c r="A24" s="6" t="s">
        <v>654</v>
      </c>
      <c r="B24" s="6"/>
      <c r="C24" s="7" t="s">
        <v>270</v>
      </c>
      <c r="D24" s="7" t="s">
        <v>394</v>
      </c>
      <c r="E24" s="7" t="s">
        <v>143</v>
      </c>
    </row>
    <row r="25" spans="1:5" x14ac:dyDescent="0.2">
      <c r="A25" s="16" t="s">
        <v>10</v>
      </c>
      <c r="B25" s="16"/>
      <c r="C25" s="17"/>
      <c r="D25" s="15"/>
      <c r="E25" s="15"/>
    </row>
    <row r="26" spans="1:5" ht="30" x14ac:dyDescent="0.2">
      <c r="A26" s="16" t="s">
        <v>72</v>
      </c>
      <c r="B26" s="16"/>
      <c r="C26" s="17" t="s">
        <v>353</v>
      </c>
      <c r="D26" s="20" t="s">
        <v>384</v>
      </c>
      <c r="E26" s="7" t="s">
        <v>258</v>
      </c>
    </row>
    <row r="27" spans="1:5" x14ac:dyDescent="0.2">
      <c r="A27" s="19"/>
      <c r="B27" s="19"/>
      <c r="C27" s="15"/>
      <c r="D27" s="15"/>
      <c r="E27" s="15"/>
    </row>
    <row r="28" spans="1:5" x14ac:dyDescent="0.2">
      <c r="A28" s="5" t="s">
        <v>14</v>
      </c>
      <c r="B28" s="5"/>
      <c r="C28" s="9"/>
      <c r="D28" s="9"/>
      <c r="E28" s="9"/>
    </row>
    <row r="29" spans="1:5" ht="41.5" customHeight="1" x14ac:dyDescent="0.2">
      <c r="A29" s="15"/>
      <c r="B29" s="15"/>
      <c r="C29" s="15"/>
      <c r="D29" s="15"/>
      <c r="E29" s="15"/>
    </row>
    <row r="30" spans="1:5" x14ac:dyDescent="0.2">
      <c r="A30" s="6" t="s">
        <v>15</v>
      </c>
      <c r="B30" s="6"/>
      <c r="C30" s="8"/>
      <c r="D30" s="8"/>
      <c r="E30" s="8"/>
    </row>
    <row r="31" spans="1:5" ht="30" x14ac:dyDescent="0.2">
      <c r="A31" s="6" t="s">
        <v>74</v>
      </c>
      <c r="B31" s="6"/>
      <c r="C31" s="12" t="s">
        <v>274</v>
      </c>
      <c r="D31" s="20" t="s">
        <v>384</v>
      </c>
      <c r="E31" s="7" t="s">
        <v>144</v>
      </c>
    </row>
    <row r="32" spans="1:5" x14ac:dyDescent="0.2">
      <c r="A32" s="14" t="s">
        <v>16</v>
      </c>
      <c r="B32" s="14"/>
      <c r="C32" s="15"/>
      <c r="D32" s="15"/>
      <c r="E32" s="15"/>
    </row>
    <row r="33" spans="1:5" ht="45" x14ac:dyDescent="0.2">
      <c r="A33" s="14" t="s">
        <v>75</v>
      </c>
      <c r="B33" s="14"/>
      <c r="C33" s="17" t="s">
        <v>275</v>
      </c>
      <c r="D33" s="20" t="s">
        <v>384</v>
      </c>
      <c r="E33" s="7" t="s">
        <v>145</v>
      </c>
    </row>
    <row r="34" spans="1:5" x14ac:dyDescent="0.2">
      <c r="A34" s="15"/>
      <c r="B34" s="15"/>
      <c r="C34" s="15"/>
      <c r="D34" s="15"/>
      <c r="E34" s="15"/>
    </row>
    <row r="35" spans="1:5" x14ac:dyDescent="0.2">
      <c r="A35" s="15"/>
      <c r="B35" s="15"/>
      <c r="C35" s="15"/>
      <c r="D35" s="15"/>
      <c r="E35" s="15"/>
    </row>
    <row r="36" spans="1:5" ht="30" x14ac:dyDescent="0.2">
      <c r="A36" s="5" t="s">
        <v>18</v>
      </c>
      <c r="B36" s="5"/>
      <c r="C36" s="5"/>
      <c r="D36" s="5"/>
      <c r="E36" s="5"/>
    </row>
    <row r="37" spans="1:5" x14ac:dyDescent="0.2">
      <c r="A37" s="15"/>
      <c r="B37" s="15"/>
      <c r="C37" s="15"/>
      <c r="D37" s="15"/>
      <c r="E37" s="15"/>
    </row>
    <row r="38" spans="1:5" x14ac:dyDescent="0.2">
      <c r="A38" s="6" t="s">
        <v>20</v>
      </c>
      <c r="B38" s="6"/>
      <c r="C38" s="8"/>
      <c r="D38" s="8"/>
      <c r="E38" s="8"/>
    </row>
    <row r="39" spans="1:5" ht="30" x14ac:dyDescent="0.2">
      <c r="A39" s="6" t="s">
        <v>76</v>
      </c>
      <c r="B39" s="6"/>
      <c r="C39" s="12" t="s">
        <v>121</v>
      </c>
      <c r="D39" s="20" t="s">
        <v>384</v>
      </c>
      <c r="E39" s="7" t="s">
        <v>259</v>
      </c>
    </row>
    <row r="40" spans="1:5" x14ac:dyDescent="0.2">
      <c r="A40" s="14" t="s">
        <v>21</v>
      </c>
      <c r="B40" s="14"/>
      <c r="C40" s="15"/>
      <c r="D40" s="15"/>
      <c r="E40" s="15"/>
    </row>
    <row r="41" spans="1:5" ht="30" x14ac:dyDescent="0.2">
      <c r="A41" s="14" t="s">
        <v>77</v>
      </c>
      <c r="B41" s="14"/>
      <c r="C41" s="17" t="s">
        <v>122</v>
      </c>
      <c r="D41" s="18" t="s">
        <v>380</v>
      </c>
      <c r="E41" s="7" t="s">
        <v>260</v>
      </c>
    </row>
    <row r="42" spans="1:5" ht="30" x14ac:dyDescent="0.2">
      <c r="A42" s="14" t="s">
        <v>368</v>
      </c>
      <c r="B42" s="14"/>
      <c r="C42" s="17" t="s">
        <v>378</v>
      </c>
      <c r="D42" s="20" t="s">
        <v>384</v>
      </c>
      <c r="E42" s="7"/>
    </row>
    <row r="43" spans="1:5" ht="45" x14ac:dyDescent="0.2">
      <c r="A43" s="14" t="s">
        <v>370</v>
      </c>
      <c r="B43" s="14"/>
      <c r="C43" s="17" t="s">
        <v>373</v>
      </c>
      <c r="D43" s="20" t="s">
        <v>384</v>
      </c>
      <c r="E43" s="7" t="s">
        <v>372</v>
      </c>
    </row>
    <row r="44" spans="1:5" ht="30" x14ac:dyDescent="0.2">
      <c r="A44" s="14" t="s">
        <v>376</v>
      </c>
      <c r="B44" s="14"/>
      <c r="C44" s="17" t="s">
        <v>374</v>
      </c>
      <c r="D44" s="20" t="s">
        <v>384</v>
      </c>
      <c r="E44" s="7" t="s">
        <v>372</v>
      </c>
    </row>
    <row r="45" spans="1:5" x14ac:dyDescent="0.2">
      <c r="A45" s="6" t="s">
        <v>22</v>
      </c>
      <c r="B45" s="6"/>
      <c r="C45" s="8"/>
      <c r="D45" s="8"/>
      <c r="E45" s="8"/>
    </row>
    <row r="46" spans="1:5" ht="30" x14ac:dyDescent="0.2">
      <c r="A46" s="6" t="s">
        <v>78</v>
      </c>
      <c r="B46" s="6"/>
      <c r="C46" s="12" t="s">
        <v>123</v>
      </c>
      <c r="D46" s="20" t="s">
        <v>384</v>
      </c>
      <c r="E46" s="7" t="s">
        <v>261</v>
      </c>
    </row>
    <row r="47" spans="1:5" x14ac:dyDescent="0.2">
      <c r="A47" s="14" t="s">
        <v>23</v>
      </c>
      <c r="B47" s="14"/>
      <c r="C47" s="15"/>
      <c r="D47" s="15"/>
      <c r="E47" s="15"/>
    </row>
    <row r="48" spans="1:5" ht="30" x14ac:dyDescent="0.2">
      <c r="A48" s="14" t="s">
        <v>79</v>
      </c>
      <c r="B48" s="14"/>
      <c r="C48" s="17" t="s">
        <v>124</v>
      </c>
      <c r="D48" s="20" t="s">
        <v>384</v>
      </c>
      <c r="E48" s="7" t="s">
        <v>262</v>
      </c>
    </row>
    <row r="49" spans="1:5" ht="67.5" customHeight="1" x14ac:dyDescent="0.2">
      <c r="A49" s="6" t="s">
        <v>24</v>
      </c>
      <c r="B49" s="6"/>
      <c r="C49" s="8"/>
      <c r="D49" s="8"/>
      <c r="E49" s="8"/>
    </row>
    <row r="50" spans="1:5" ht="67.5" hidden="1" customHeight="1" x14ac:dyDescent="0.2">
      <c r="A50" s="6" t="s">
        <v>80</v>
      </c>
      <c r="B50" s="6"/>
      <c r="C50" s="8" t="s">
        <v>303</v>
      </c>
      <c r="D50" s="20" t="s">
        <v>300</v>
      </c>
      <c r="E50" s="7" t="s">
        <v>263</v>
      </c>
    </row>
    <row r="51" spans="1:5" ht="45" x14ac:dyDescent="0.2">
      <c r="A51" s="6" t="s">
        <v>114</v>
      </c>
      <c r="B51" s="6"/>
      <c r="C51" s="12" t="s">
        <v>125</v>
      </c>
      <c r="D51" s="20" t="s">
        <v>384</v>
      </c>
      <c r="E51" s="7" t="s">
        <v>263</v>
      </c>
    </row>
    <row r="52" spans="1:5" x14ac:dyDescent="0.2">
      <c r="A52" s="6" t="s">
        <v>299</v>
      </c>
      <c r="B52" s="6"/>
      <c r="C52" s="12"/>
      <c r="D52" s="13"/>
      <c r="E52" s="7"/>
    </row>
    <row r="53" spans="1:5" x14ac:dyDescent="0.2">
      <c r="A53" s="14" t="s">
        <v>25</v>
      </c>
      <c r="B53" s="14"/>
      <c r="C53" s="15"/>
      <c r="D53" s="15"/>
      <c r="E53" s="15"/>
    </row>
    <row r="54" spans="1:5" ht="30" x14ac:dyDescent="0.2">
      <c r="A54" s="14" t="s">
        <v>81</v>
      </c>
      <c r="B54" s="14"/>
      <c r="C54" s="17" t="s">
        <v>126</v>
      </c>
      <c r="D54" s="20" t="s">
        <v>384</v>
      </c>
      <c r="E54" s="7" t="s">
        <v>150</v>
      </c>
    </row>
    <row r="55" spans="1:5" x14ac:dyDescent="0.2">
      <c r="A55" s="6" t="s">
        <v>26</v>
      </c>
      <c r="B55" s="6"/>
      <c r="C55" s="8"/>
      <c r="D55" s="8"/>
      <c r="E55" s="8"/>
    </row>
    <row r="56" spans="1:5" ht="30" x14ac:dyDescent="0.2">
      <c r="A56" s="6" t="s">
        <v>82</v>
      </c>
      <c r="B56" s="6"/>
      <c r="C56" s="12" t="s">
        <v>276</v>
      </c>
      <c r="D56" s="20" t="s">
        <v>384</v>
      </c>
      <c r="E56" s="7" t="s">
        <v>146</v>
      </c>
    </row>
    <row r="57" spans="1:5" x14ac:dyDescent="0.2">
      <c r="A57" s="14" t="s">
        <v>28</v>
      </c>
      <c r="B57" s="14"/>
      <c r="C57" s="15"/>
      <c r="D57" s="15"/>
      <c r="E57" s="15"/>
    </row>
    <row r="58" spans="1:5" ht="30" x14ac:dyDescent="0.2">
      <c r="A58" s="14" t="s">
        <v>87</v>
      </c>
      <c r="B58" s="14"/>
      <c r="C58" s="24" t="s">
        <v>277</v>
      </c>
      <c r="D58" s="20" t="s">
        <v>384</v>
      </c>
      <c r="E58" s="7" t="s">
        <v>147</v>
      </c>
    </row>
    <row r="59" spans="1:5" x14ac:dyDescent="0.2">
      <c r="A59" s="6" t="s">
        <v>29</v>
      </c>
      <c r="B59" s="6"/>
      <c r="C59" s="15"/>
      <c r="D59" s="15"/>
      <c r="E59" s="15"/>
    </row>
    <row r="60" spans="1:5" ht="30" x14ac:dyDescent="0.2">
      <c r="A60" s="6" t="s">
        <v>88</v>
      </c>
      <c r="B60" s="6"/>
      <c r="C60" s="20" t="s">
        <v>384</v>
      </c>
      <c r="D60" s="7" t="s">
        <v>278</v>
      </c>
      <c r="E60" s="7" t="s">
        <v>148</v>
      </c>
    </row>
    <row r="61" spans="1:5" x14ac:dyDescent="0.2">
      <c r="A61" s="14" t="s">
        <v>30</v>
      </c>
      <c r="B61" s="14"/>
      <c r="C61" s="15"/>
      <c r="D61" s="15"/>
      <c r="E61" s="15"/>
    </row>
    <row r="62" spans="1:5" ht="30" x14ac:dyDescent="0.2">
      <c r="A62" s="14" t="s">
        <v>89</v>
      </c>
      <c r="B62" s="14"/>
      <c r="C62" s="18" t="s">
        <v>279</v>
      </c>
      <c r="D62" s="20" t="s">
        <v>384</v>
      </c>
      <c r="E62" s="7" t="s">
        <v>149</v>
      </c>
    </row>
    <row r="63" spans="1:5" x14ac:dyDescent="0.2">
      <c r="A63" s="6" t="s">
        <v>31</v>
      </c>
      <c r="B63" s="6"/>
      <c r="C63" s="8"/>
      <c r="D63" s="8"/>
      <c r="E63" s="8"/>
    </row>
    <row r="64" spans="1:5" ht="30" x14ac:dyDescent="0.2">
      <c r="A64" s="6" t="s">
        <v>90</v>
      </c>
      <c r="B64" s="6"/>
      <c r="C64" s="20" t="s">
        <v>127</v>
      </c>
      <c r="D64" s="20" t="s">
        <v>384</v>
      </c>
      <c r="E64" s="7" t="s">
        <v>150</v>
      </c>
    </row>
    <row r="65" spans="1:7" x14ac:dyDescent="0.2">
      <c r="A65" s="14" t="s">
        <v>32</v>
      </c>
      <c r="B65" s="14"/>
      <c r="C65" s="15"/>
      <c r="D65" s="15"/>
      <c r="E65" s="15"/>
    </row>
    <row r="66" spans="1:7" ht="45" x14ac:dyDescent="0.2">
      <c r="A66" s="14" t="s">
        <v>91</v>
      </c>
      <c r="B66" s="14"/>
      <c r="C66" s="18" t="s">
        <v>620</v>
      </c>
      <c r="D66" s="18" t="s">
        <v>384</v>
      </c>
      <c r="E66" s="7" t="s">
        <v>618</v>
      </c>
    </row>
    <row r="67" spans="1:7" ht="30" x14ac:dyDescent="0.2">
      <c r="A67" s="14" t="s">
        <v>619</v>
      </c>
      <c r="B67" s="14"/>
      <c r="C67" s="18" t="s">
        <v>626</v>
      </c>
      <c r="D67" s="18" t="s">
        <v>384</v>
      </c>
      <c r="E67" s="7" t="s">
        <v>618</v>
      </c>
    </row>
    <row r="68" spans="1:7" ht="60" x14ac:dyDescent="0.2">
      <c r="A68" s="14" t="s">
        <v>627</v>
      </c>
      <c r="B68" s="14"/>
      <c r="C68" s="18" t="s">
        <v>621</v>
      </c>
      <c r="D68" s="18" t="s">
        <v>384</v>
      </c>
      <c r="E68" s="7" t="s">
        <v>622</v>
      </c>
    </row>
    <row r="69" spans="1:7" x14ac:dyDescent="0.2">
      <c r="A69" s="15"/>
      <c r="B69" s="15"/>
      <c r="C69" s="15"/>
      <c r="D69" s="15"/>
      <c r="E69" s="15"/>
    </row>
    <row r="70" spans="1:7" x14ac:dyDescent="0.2">
      <c r="A70" s="5" t="s">
        <v>33</v>
      </c>
      <c r="B70" s="5"/>
      <c r="C70" s="5"/>
      <c r="D70" s="5"/>
      <c r="E70" s="5"/>
    </row>
    <row r="71" spans="1:7" x14ac:dyDescent="0.2">
      <c r="A71" s="15"/>
      <c r="B71" s="15"/>
      <c r="C71" s="15"/>
      <c r="D71" s="15"/>
      <c r="E71" s="15"/>
    </row>
    <row r="72" spans="1:7" x14ac:dyDescent="0.2">
      <c r="A72" s="11" t="s">
        <v>34</v>
      </c>
      <c r="B72" s="11"/>
      <c r="C72" s="8"/>
      <c r="D72" s="8"/>
      <c r="E72" s="8"/>
    </row>
    <row r="73" spans="1:7" ht="30" x14ac:dyDescent="0.2">
      <c r="A73" s="11" t="s">
        <v>92</v>
      </c>
      <c r="B73" s="11"/>
      <c r="C73" s="20" t="s">
        <v>304</v>
      </c>
      <c r="D73" s="20" t="s">
        <v>384</v>
      </c>
      <c r="E73" s="7" t="s">
        <v>151</v>
      </c>
    </row>
    <row r="74" spans="1:7" x14ac:dyDescent="0.2">
      <c r="A74" s="15"/>
      <c r="B74" s="15"/>
      <c r="C74" s="15"/>
      <c r="D74" s="15"/>
      <c r="E74" s="15"/>
    </row>
    <row r="75" spans="1:7" x14ac:dyDescent="0.2">
      <c r="A75" s="5" t="s">
        <v>35</v>
      </c>
      <c r="B75" s="5"/>
      <c r="C75" s="5"/>
      <c r="D75" s="5"/>
      <c r="E75" s="5"/>
    </row>
    <row r="76" spans="1:7" x14ac:dyDescent="0.2">
      <c r="A76" s="15"/>
      <c r="B76" s="15"/>
      <c r="C76" s="15"/>
      <c r="D76" s="15"/>
      <c r="E76" s="15"/>
    </row>
    <row r="77" spans="1:7" ht="17" thickBot="1" x14ac:dyDescent="0.25">
      <c r="A77" s="6" t="s">
        <v>36</v>
      </c>
      <c r="B77" s="6"/>
      <c r="C77" s="8"/>
      <c r="D77" s="8"/>
      <c r="E77" s="8"/>
    </row>
    <row r="78" spans="1:7" ht="39" customHeight="1" thickTop="1" thickBot="1" x14ac:dyDescent="0.25">
      <c r="A78" s="6" t="s">
        <v>93</v>
      </c>
      <c r="B78" s="6"/>
      <c r="C78" s="21" t="s">
        <v>128</v>
      </c>
      <c r="D78" s="20" t="s">
        <v>384</v>
      </c>
      <c r="E78" s="7" t="s">
        <v>264</v>
      </c>
      <c r="G78" s="59"/>
    </row>
    <row r="79" spans="1:7" ht="46" thickTop="1" x14ac:dyDescent="0.2">
      <c r="A79" s="6" t="s">
        <v>115</v>
      </c>
      <c r="B79" s="6"/>
      <c r="C79" s="21" t="s">
        <v>142</v>
      </c>
      <c r="D79" s="20" t="s">
        <v>384</v>
      </c>
      <c r="E79" s="7" t="s">
        <v>154</v>
      </c>
    </row>
    <row r="80" spans="1:7" ht="30" x14ac:dyDescent="0.2">
      <c r="A80" s="6" t="s">
        <v>116</v>
      </c>
      <c r="B80" s="6"/>
      <c r="C80" s="21" t="s">
        <v>361</v>
      </c>
      <c r="D80" s="20" t="s">
        <v>384</v>
      </c>
      <c r="E80" s="7" t="s">
        <v>154</v>
      </c>
    </row>
    <row r="81" spans="1:5" x14ac:dyDescent="0.2">
      <c r="A81" s="14" t="s">
        <v>37</v>
      </c>
      <c r="B81" s="14"/>
      <c r="C81" s="15"/>
      <c r="D81" s="15"/>
      <c r="E81" s="15"/>
    </row>
    <row r="82" spans="1:5" ht="30" x14ac:dyDescent="0.2">
      <c r="A82" s="14" t="s">
        <v>94</v>
      </c>
      <c r="B82" s="14"/>
      <c r="C82" s="18" t="s">
        <v>354</v>
      </c>
      <c r="D82" s="20" t="s">
        <v>384</v>
      </c>
      <c r="E82" s="7" t="s">
        <v>152</v>
      </c>
    </row>
    <row r="83" spans="1:5" x14ac:dyDescent="0.2">
      <c r="A83" s="15"/>
      <c r="B83" s="15"/>
      <c r="C83" s="15"/>
      <c r="D83" s="15"/>
      <c r="E83" s="15"/>
    </row>
    <row r="84" spans="1:5" x14ac:dyDescent="0.2">
      <c r="A84" s="5" t="s">
        <v>38</v>
      </c>
      <c r="B84" s="5"/>
      <c r="C84" s="5"/>
      <c r="D84" s="5"/>
      <c r="E84" s="5"/>
    </row>
    <row r="85" spans="1:5" x14ac:dyDescent="0.2">
      <c r="A85" s="15"/>
      <c r="B85" s="15"/>
      <c r="C85" s="15"/>
      <c r="D85" s="15"/>
      <c r="E85" s="15"/>
    </row>
    <row r="86" spans="1:5" x14ac:dyDescent="0.2">
      <c r="A86" s="6" t="s">
        <v>39</v>
      </c>
      <c r="B86" s="6"/>
      <c r="C86" s="8"/>
      <c r="D86" s="8"/>
      <c r="E86" s="8"/>
    </row>
    <row r="87" spans="1:5" ht="30" x14ac:dyDescent="0.2">
      <c r="A87" s="6" t="s">
        <v>95</v>
      </c>
      <c r="B87" s="6"/>
      <c r="C87" s="20" t="s">
        <v>280</v>
      </c>
      <c r="D87" s="20" t="s">
        <v>384</v>
      </c>
      <c r="E87" s="7" t="s">
        <v>153</v>
      </c>
    </row>
    <row r="88" spans="1:5" x14ac:dyDescent="0.2">
      <c r="A88" s="14" t="s">
        <v>40</v>
      </c>
      <c r="B88" s="14"/>
      <c r="C88" s="15"/>
      <c r="D88" s="15"/>
      <c r="E88" s="15"/>
    </row>
    <row r="89" spans="1:5" ht="45" x14ac:dyDescent="0.2">
      <c r="A89" s="14" t="s">
        <v>96</v>
      </c>
      <c r="B89" s="14"/>
      <c r="C89" s="18" t="s">
        <v>281</v>
      </c>
      <c r="D89" s="22" t="s">
        <v>388</v>
      </c>
      <c r="E89" s="7" t="s">
        <v>154</v>
      </c>
    </row>
    <row r="90" spans="1:5" ht="30" x14ac:dyDescent="0.2">
      <c r="A90" s="14" t="s">
        <v>96</v>
      </c>
      <c r="B90" s="14"/>
      <c r="C90" s="18" t="s">
        <v>307</v>
      </c>
      <c r="D90" s="20" t="s">
        <v>384</v>
      </c>
      <c r="E90" s="7" t="s">
        <v>154</v>
      </c>
    </row>
    <row r="91" spans="1:5" x14ac:dyDescent="0.2">
      <c r="A91" s="15"/>
      <c r="B91" s="15"/>
      <c r="C91" s="15"/>
      <c r="D91" s="15"/>
      <c r="E91" s="15"/>
    </row>
    <row r="92" spans="1:5" x14ac:dyDescent="0.2">
      <c r="A92" s="5" t="s">
        <v>41</v>
      </c>
      <c r="B92" s="5"/>
      <c r="C92" s="5"/>
      <c r="D92" s="5"/>
      <c r="E92" s="5"/>
    </row>
    <row r="93" spans="1:5" x14ac:dyDescent="0.2">
      <c r="A93" s="15"/>
      <c r="B93" s="15"/>
      <c r="C93" s="15"/>
      <c r="D93" s="15"/>
      <c r="E93" s="15"/>
    </row>
    <row r="94" spans="1:5" x14ac:dyDescent="0.2">
      <c r="A94" s="6" t="s">
        <v>42</v>
      </c>
      <c r="B94" s="6"/>
      <c r="C94" s="8"/>
      <c r="D94" s="8"/>
      <c r="E94" s="8"/>
    </row>
    <row r="95" spans="1:5" ht="30" x14ac:dyDescent="0.2">
      <c r="A95" s="6" t="s">
        <v>97</v>
      </c>
      <c r="B95" s="6"/>
      <c r="C95" s="20" t="s">
        <v>129</v>
      </c>
      <c r="D95" s="20" t="s">
        <v>385</v>
      </c>
      <c r="E95" s="7" t="s">
        <v>155</v>
      </c>
    </row>
    <row r="96" spans="1:5" x14ac:dyDescent="0.2">
      <c r="A96" s="14" t="s">
        <v>43</v>
      </c>
      <c r="B96" s="14"/>
      <c r="C96" s="15"/>
      <c r="D96" s="15"/>
      <c r="E96" s="15"/>
    </row>
    <row r="97" spans="1:5" ht="30" x14ac:dyDescent="0.2">
      <c r="A97" s="14" t="s">
        <v>98</v>
      </c>
      <c r="B97" s="14"/>
      <c r="C97" s="20" t="s">
        <v>130</v>
      </c>
      <c r="D97" s="20" t="s">
        <v>386</v>
      </c>
      <c r="E97" s="7" t="s">
        <v>156</v>
      </c>
    </row>
    <row r="98" spans="1:5" x14ac:dyDescent="0.2">
      <c r="A98" s="6" t="s">
        <v>655</v>
      </c>
      <c r="B98" s="6"/>
      <c r="C98" s="8"/>
      <c r="D98" s="8"/>
      <c r="E98" s="8"/>
    </row>
    <row r="99" spans="1:5" ht="45" x14ac:dyDescent="0.2">
      <c r="A99" s="6" t="s">
        <v>656</v>
      </c>
      <c r="B99" s="6"/>
      <c r="C99" s="20" t="s">
        <v>282</v>
      </c>
      <c r="D99" s="20" t="s">
        <v>387</v>
      </c>
      <c r="E99" s="7" t="s">
        <v>157</v>
      </c>
    </row>
    <row r="100" spans="1:5" x14ac:dyDescent="0.2">
      <c r="A100" s="14" t="s">
        <v>44</v>
      </c>
      <c r="B100" s="14"/>
      <c r="C100" s="15"/>
      <c r="D100" s="15"/>
      <c r="E100" s="15"/>
    </row>
    <row r="101" spans="1:5" ht="45" x14ac:dyDescent="0.2">
      <c r="A101" s="14" t="s">
        <v>99</v>
      </c>
      <c r="B101" s="14"/>
      <c r="C101" s="18" t="s">
        <v>131</v>
      </c>
      <c r="D101" s="20" t="s">
        <v>384</v>
      </c>
      <c r="E101" s="7" t="s">
        <v>158</v>
      </c>
    </row>
    <row r="102" spans="1:5" x14ac:dyDescent="0.2">
      <c r="A102" s="6" t="s">
        <v>45</v>
      </c>
      <c r="B102" s="6"/>
      <c r="C102" s="8"/>
      <c r="D102" s="8"/>
      <c r="E102" s="8"/>
    </row>
    <row r="103" spans="1:5" ht="30" x14ac:dyDescent="0.2">
      <c r="A103" s="6" t="s">
        <v>100</v>
      </c>
      <c r="B103" s="6"/>
      <c r="C103" s="20" t="s">
        <v>362</v>
      </c>
      <c r="D103" s="20" t="s">
        <v>311</v>
      </c>
      <c r="E103" s="7" t="s">
        <v>159</v>
      </c>
    </row>
    <row r="104" spans="1:5" ht="30" x14ac:dyDescent="0.2">
      <c r="A104" s="6" t="s">
        <v>657</v>
      </c>
      <c r="B104" s="6"/>
      <c r="C104" s="20" t="s">
        <v>310</v>
      </c>
      <c r="D104" s="20" t="s">
        <v>384</v>
      </c>
      <c r="E104" s="7" t="s">
        <v>309</v>
      </c>
    </row>
    <row r="105" spans="1:5" x14ac:dyDescent="0.2">
      <c r="A105" s="14" t="s">
        <v>46</v>
      </c>
      <c r="B105" s="14"/>
      <c r="C105" s="15"/>
      <c r="D105" s="15"/>
      <c r="E105" s="15"/>
    </row>
    <row r="106" spans="1:5" ht="30" x14ac:dyDescent="0.2">
      <c r="A106" s="14" t="s">
        <v>101</v>
      </c>
      <c r="B106" s="14"/>
      <c r="C106" s="18" t="s">
        <v>132</v>
      </c>
      <c r="D106" s="20" t="s">
        <v>384</v>
      </c>
      <c r="E106" s="7" t="s">
        <v>160</v>
      </c>
    </row>
    <row r="107" spans="1:5" x14ac:dyDescent="0.2">
      <c r="A107" s="15"/>
      <c r="B107" s="15"/>
      <c r="C107" s="15"/>
      <c r="D107" s="15"/>
      <c r="E107" s="15"/>
    </row>
    <row r="108" spans="1:5" x14ac:dyDescent="0.2">
      <c r="A108" s="5" t="s">
        <v>48</v>
      </c>
      <c r="B108" s="5"/>
      <c r="C108" s="5"/>
      <c r="D108" s="5"/>
      <c r="E108" s="5"/>
    </row>
    <row r="109" spans="1:5" x14ac:dyDescent="0.2">
      <c r="A109" s="15"/>
      <c r="B109" s="15"/>
      <c r="C109" s="15"/>
      <c r="D109" s="15"/>
      <c r="E109" s="15"/>
    </row>
    <row r="110" spans="1:5" x14ac:dyDescent="0.2">
      <c r="A110" s="6" t="s">
        <v>49</v>
      </c>
      <c r="B110" s="6"/>
      <c r="C110" s="8"/>
      <c r="D110" s="8"/>
      <c r="E110" s="8"/>
    </row>
    <row r="111" spans="1:5" ht="30" x14ac:dyDescent="0.2">
      <c r="A111" s="6" t="s">
        <v>102</v>
      </c>
      <c r="B111" s="6"/>
      <c r="C111" s="20" t="s">
        <v>283</v>
      </c>
      <c r="D111" s="20" t="s">
        <v>384</v>
      </c>
      <c r="E111" s="7" t="s">
        <v>161</v>
      </c>
    </row>
    <row r="112" spans="1:5" x14ac:dyDescent="0.2">
      <c r="A112" s="15"/>
      <c r="B112" s="15"/>
      <c r="C112" s="15"/>
      <c r="D112" s="15"/>
      <c r="E112" s="15"/>
    </row>
    <row r="113" spans="1:5" x14ac:dyDescent="0.2">
      <c r="A113" s="5" t="s">
        <v>50</v>
      </c>
      <c r="B113" s="5"/>
      <c r="C113" s="5"/>
      <c r="D113" s="5"/>
      <c r="E113" s="5"/>
    </row>
    <row r="114" spans="1:5" x14ac:dyDescent="0.2">
      <c r="A114" s="15"/>
      <c r="B114" s="15"/>
      <c r="C114" s="15"/>
      <c r="D114" s="15"/>
      <c r="E114" s="15"/>
    </row>
    <row r="115" spans="1:5" ht="30" x14ac:dyDescent="0.2">
      <c r="A115" s="6" t="s">
        <v>313</v>
      </c>
      <c r="B115" s="6"/>
      <c r="C115" s="20" t="s">
        <v>334</v>
      </c>
      <c r="D115" s="20" t="s">
        <v>342</v>
      </c>
      <c r="E115" s="7" t="s">
        <v>162</v>
      </c>
    </row>
    <row r="116" spans="1:5" x14ac:dyDescent="0.2">
      <c r="A116" s="6" t="s">
        <v>51</v>
      </c>
      <c r="B116" s="6"/>
      <c r="C116" s="8"/>
      <c r="D116" s="8"/>
      <c r="E116" s="8"/>
    </row>
    <row r="117" spans="1:5" ht="30" x14ac:dyDescent="0.2">
      <c r="A117" s="6" t="s">
        <v>103</v>
      </c>
      <c r="B117" s="6"/>
      <c r="C117" s="20" t="s">
        <v>314</v>
      </c>
      <c r="D117" s="20" t="s">
        <v>384</v>
      </c>
      <c r="E117" s="7" t="s">
        <v>162</v>
      </c>
    </row>
    <row r="118" spans="1:5" x14ac:dyDescent="0.2">
      <c r="A118" s="14" t="s">
        <v>53</v>
      </c>
      <c r="B118" s="14"/>
      <c r="C118" s="15"/>
      <c r="D118" s="15"/>
      <c r="E118" s="15"/>
    </row>
    <row r="119" spans="1:5" ht="45" x14ac:dyDescent="0.2">
      <c r="A119" s="14" t="s">
        <v>105</v>
      </c>
      <c r="B119" s="14"/>
      <c r="C119" s="18" t="s">
        <v>284</v>
      </c>
      <c r="D119" s="18" t="s">
        <v>383</v>
      </c>
      <c r="E119" s="7" t="s">
        <v>163</v>
      </c>
    </row>
    <row r="120" spans="1:5" x14ac:dyDescent="0.2">
      <c r="A120" s="6" t="s">
        <v>57</v>
      </c>
      <c r="B120" s="6"/>
      <c r="C120" s="8"/>
      <c r="D120" s="8"/>
      <c r="E120" s="8"/>
    </row>
    <row r="121" spans="1:5" ht="30" x14ac:dyDescent="0.2">
      <c r="A121" s="6" t="s">
        <v>109</v>
      </c>
      <c r="B121" s="6"/>
      <c r="C121" s="20" t="s">
        <v>133</v>
      </c>
      <c r="D121" s="20" t="s">
        <v>384</v>
      </c>
      <c r="E121" s="7" t="s">
        <v>164</v>
      </c>
    </row>
    <row r="122" spans="1:5" x14ac:dyDescent="0.2">
      <c r="A122" s="14" t="s">
        <v>54</v>
      </c>
      <c r="B122" s="14"/>
      <c r="C122" s="15"/>
      <c r="D122" s="15"/>
      <c r="E122" s="15"/>
    </row>
    <row r="123" spans="1:5" ht="45" x14ac:dyDescent="0.2">
      <c r="A123" s="14" t="s">
        <v>106</v>
      </c>
      <c r="B123" s="14"/>
      <c r="C123" s="18" t="s">
        <v>134</v>
      </c>
      <c r="D123" s="20" t="s">
        <v>384</v>
      </c>
      <c r="E123" s="7" t="s">
        <v>165</v>
      </c>
    </row>
    <row r="124" spans="1:5" x14ac:dyDescent="0.2">
      <c r="A124" s="6" t="s">
        <v>55</v>
      </c>
      <c r="B124" s="6"/>
      <c r="C124" s="8"/>
      <c r="D124" s="8"/>
      <c r="E124" s="8"/>
    </row>
    <row r="125" spans="1:5" ht="30" x14ac:dyDescent="0.2">
      <c r="A125" s="6" t="s">
        <v>107</v>
      </c>
      <c r="B125" s="6"/>
      <c r="C125" s="20" t="s">
        <v>135</v>
      </c>
      <c r="D125" s="20" t="s">
        <v>384</v>
      </c>
      <c r="E125" s="7" t="s">
        <v>166</v>
      </c>
    </row>
    <row r="126" spans="1:5" x14ac:dyDescent="0.2">
      <c r="A126" s="14" t="s">
        <v>56</v>
      </c>
      <c r="B126" s="14"/>
      <c r="C126" s="15"/>
      <c r="D126" s="15"/>
      <c r="E126" s="15"/>
    </row>
    <row r="127" spans="1:5" ht="30" x14ac:dyDescent="0.2">
      <c r="A127" s="14" t="s">
        <v>108</v>
      </c>
      <c r="B127" s="14"/>
      <c r="C127" s="18" t="s">
        <v>136</v>
      </c>
      <c r="D127" s="20" t="s">
        <v>384</v>
      </c>
      <c r="E127" s="7" t="s">
        <v>167</v>
      </c>
    </row>
    <row r="128" spans="1:5" x14ac:dyDescent="0.2">
      <c r="A128" s="6" t="s">
        <v>52</v>
      </c>
      <c r="B128" s="6"/>
      <c r="C128" s="8"/>
      <c r="D128" s="8"/>
      <c r="E128" s="8"/>
    </row>
    <row r="129" spans="1:5" ht="30" x14ac:dyDescent="0.2">
      <c r="A129" s="6" t="s">
        <v>104</v>
      </c>
      <c r="B129" s="6"/>
      <c r="C129" s="20" t="s">
        <v>137</v>
      </c>
      <c r="D129" s="20" t="s">
        <v>384</v>
      </c>
      <c r="E129" s="7" t="s">
        <v>168</v>
      </c>
    </row>
    <row r="130" spans="1:5" x14ac:dyDescent="0.2">
      <c r="A130" s="15"/>
      <c r="B130" s="15"/>
      <c r="C130" s="15"/>
      <c r="D130" s="15"/>
      <c r="E130" s="15"/>
    </row>
    <row r="131" spans="1:5" x14ac:dyDescent="0.2">
      <c r="A131" s="5" t="s">
        <v>58</v>
      </c>
      <c r="B131" s="5"/>
      <c r="C131" s="5"/>
      <c r="D131" s="5"/>
      <c r="E131" s="5"/>
    </row>
    <row r="132" spans="1:5" x14ac:dyDescent="0.2">
      <c r="A132" s="15"/>
      <c r="B132" s="15"/>
      <c r="C132" s="15"/>
      <c r="D132" s="15"/>
      <c r="E132" s="15"/>
    </row>
    <row r="133" spans="1:5" ht="30" x14ac:dyDescent="0.2">
      <c r="A133" s="6" t="s">
        <v>339</v>
      </c>
      <c r="B133" s="6"/>
      <c r="C133" s="21" t="s">
        <v>340</v>
      </c>
      <c r="D133" s="8" t="s">
        <v>341</v>
      </c>
      <c r="E133" s="8"/>
    </row>
    <row r="134" spans="1:5" x14ac:dyDescent="0.2">
      <c r="A134" s="6" t="s">
        <v>59</v>
      </c>
      <c r="B134" s="6"/>
      <c r="C134" s="8"/>
      <c r="D134" s="8"/>
      <c r="E134" s="8"/>
    </row>
    <row r="135" spans="1:5" ht="30" x14ac:dyDescent="0.2">
      <c r="A135" s="6" t="s">
        <v>110</v>
      </c>
      <c r="B135" s="6"/>
      <c r="C135" s="20" t="s">
        <v>343</v>
      </c>
      <c r="D135" s="20" t="s">
        <v>384</v>
      </c>
      <c r="E135" s="7" t="s">
        <v>169</v>
      </c>
    </row>
    <row r="136" spans="1:5" x14ac:dyDescent="0.2">
      <c r="A136" s="14" t="s">
        <v>60</v>
      </c>
      <c r="B136" s="14"/>
      <c r="C136" s="15"/>
      <c r="D136" s="15"/>
      <c r="E136" s="15"/>
    </row>
    <row r="137" spans="1:5" ht="30" x14ac:dyDescent="0.2">
      <c r="A137" s="14" t="s">
        <v>111</v>
      </c>
      <c r="B137" s="14"/>
      <c r="C137" s="18" t="s">
        <v>138</v>
      </c>
      <c r="D137" s="20" t="s">
        <v>384</v>
      </c>
      <c r="E137" s="7" t="s">
        <v>170</v>
      </c>
    </row>
    <row r="138" spans="1:5" x14ac:dyDescent="0.2">
      <c r="A138" s="6" t="s">
        <v>62</v>
      </c>
      <c r="B138" s="6"/>
      <c r="C138" s="8"/>
      <c r="D138" s="8"/>
      <c r="E138" s="8"/>
    </row>
    <row r="139" spans="1:5" ht="30" x14ac:dyDescent="0.2">
      <c r="A139" s="6" t="s">
        <v>112</v>
      </c>
      <c r="B139" s="6"/>
      <c r="C139" s="20" t="s">
        <v>285</v>
      </c>
      <c r="D139" s="20" t="s">
        <v>384</v>
      </c>
      <c r="E139" s="7" t="s">
        <v>171</v>
      </c>
    </row>
    <row r="140" spans="1:5" x14ac:dyDescent="0.2">
      <c r="A140" s="15"/>
      <c r="B140" s="15"/>
      <c r="C140" s="15"/>
      <c r="D140" s="15"/>
      <c r="E140" s="15"/>
    </row>
    <row r="141" spans="1:5" ht="30" x14ac:dyDescent="0.2">
      <c r="A141" s="5" t="s">
        <v>64</v>
      </c>
      <c r="B141" s="5"/>
      <c r="C141" s="5"/>
      <c r="D141" s="5"/>
      <c r="E141" s="5"/>
    </row>
    <row r="142" spans="1:5" x14ac:dyDescent="0.2">
      <c r="A142" s="15"/>
      <c r="B142" s="15"/>
      <c r="C142" s="15"/>
      <c r="D142" s="15"/>
      <c r="E142" s="15"/>
    </row>
    <row r="143" spans="1:5" x14ac:dyDescent="0.2">
      <c r="A143" s="6" t="s">
        <v>65</v>
      </c>
      <c r="B143" s="6"/>
      <c r="C143" s="8"/>
      <c r="D143" s="8"/>
      <c r="E143" s="8"/>
    </row>
    <row r="144" spans="1:5" ht="30" x14ac:dyDescent="0.2">
      <c r="A144" s="6" t="s">
        <v>113</v>
      </c>
      <c r="B144" s="6"/>
      <c r="C144" s="20" t="s">
        <v>384</v>
      </c>
      <c r="D144" s="20" t="s">
        <v>338</v>
      </c>
      <c r="E144" s="7" t="s">
        <v>172</v>
      </c>
    </row>
    <row r="145" spans="1:5" ht="30" x14ac:dyDescent="0.2">
      <c r="A145" s="6" t="s">
        <v>336</v>
      </c>
      <c r="B145" s="6"/>
      <c r="C145" s="20" t="s">
        <v>344</v>
      </c>
      <c r="D145" s="20" t="s">
        <v>384</v>
      </c>
      <c r="E145" s="7" t="s">
        <v>172</v>
      </c>
    </row>
  </sheetData>
  <sheetProtection selectLockedCells="1" selectUnlockedCells="1"/>
  <conditionalFormatting sqref="C6:C7 C23:C26">
    <cfRule type="expression" dxfId="63" priority="60" stopIfTrue="1">
      <formula>$E6="No"</formula>
    </cfRule>
  </conditionalFormatting>
  <conditionalFormatting sqref="C8:C9 E21:E24">
    <cfRule type="expression" dxfId="62" priority="2" stopIfTrue="1">
      <formula>#REF!="Yes"</formula>
    </cfRule>
  </conditionalFormatting>
  <conditionalFormatting sqref="C11:C12">
    <cfRule type="expression" dxfId="61" priority="180" stopIfTrue="1">
      <formula>$E11="No"</formula>
    </cfRule>
  </conditionalFormatting>
  <conditionalFormatting sqref="C14:C19">
    <cfRule type="expression" dxfId="60" priority="56" stopIfTrue="1">
      <formula>$E14="No"</formula>
    </cfRule>
  </conditionalFormatting>
  <conditionalFormatting sqref="C21">
    <cfRule type="expression" dxfId="59" priority="54" stopIfTrue="1">
      <formula>$E21="No"</formula>
    </cfRule>
  </conditionalFormatting>
  <conditionalFormatting sqref="C31">
    <cfRule type="expression" dxfId="58" priority="41" stopIfTrue="1">
      <formula>$E31="No"</formula>
    </cfRule>
  </conditionalFormatting>
  <conditionalFormatting sqref="C33">
    <cfRule type="expression" dxfId="57" priority="43" stopIfTrue="1">
      <formula>#REF!="No"</formula>
    </cfRule>
  </conditionalFormatting>
  <conditionalFormatting sqref="C39">
    <cfRule type="expression" dxfId="56" priority="31" stopIfTrue="1">
      <formula>$E39="No"</formula>
    </cfRule>
  </conditionalFormatting>
  <conditionalFormatting sqref="C41:C44">
    <cfRule type="expression" dxfId="55" priority="29" stopIfTrue="1">
      <formula>$E41="No"</formula>
    </cfRule>
  </conditionalFormatting>
  <conditionalFormatting sqref="C46">
    <cfRule type="expression" dxfId="54" priority="27" stopIfTrue="1">
      <formula>$E46="No"</formula>
    </cfRule>
  </conditionalFormatting>
  <conditionalFormatting sqref="C48">
    <cfRule type="expression" dxfId="53" priority="26" stopIfTrue="1">
      <formula>$E48="No"</formula>
    </cfRule>
  </conditionalFormatting>
  <conditionalFormatting sqref="C51:C52">
    <cfRule type="expression" dxfId="52" priority="25" stopIfTrue="1">
      <formula>$E51="No"</formula>
    </cfRule>
  </conditionalFormatting>
  <conditionalFormatting sqref="C54">
    <cfRule type="expression" dxfId="51" priority="23" stopIfTrue="1">
      <formula>$E54="No"</formula>
    </cfRule>
  </conditionalFormatting>
  <conditionalFormatting sqref="C56">
    <cfRule type="expression" dxfId="50" priority="22" stopIfTrue="1">
      <formula>$E56="No"</formula>
    </cfRule>
  </conditionalFormatting>
  <conditionalFormatting sqref="C58">
    <cfRule type="expression" dxfId="49" priority="20" stopIfTrue="1">
      <formula>$E58="No"</formula>
    </cfRule>
  </conditionalFormatting>
  <conditionalFormatting sqref="C2:D4">
    <cfRule type="expression" dxfId="48" priority="1" stopIfTrue="1">
      <formula>$E2="No"</formula>
    </cfRule>
  </conditionalFormatting>
  <conditionalFormatting sqref="D6">
    <cfRule type="expression" dxfId="47" priority="179" stopIfTrue="1">
      <formula>#REF!="Yes"</formula>
    </cfRule>
  </conditionalFormatting>
  <conditionalFormatting sqref="D21">
    <cfRule type="expression" dxfId="46" priority="175" stopIfTrue="1">
      <formula>#REF!="Yes"</formula>
    </cfRule>
  </conditionalFormatting>
  <conditionalFormatting sqref="D23:D24">
    <cfRule type="expression" dxfId="45" priority="47" stopIfTrue="1">
      <formula>#REF!="Yes"</formula>
    </cfRule>
  </conditionalFormatting>
  <conditionalFormatting sqref="D41">
    <cfRule type="expression" dxfId="44" priority="937" stopIfTrue="1">
      <formula>$E45="Yes"</formula>
    </cfRule>
  </conditionalFormatting>
  <conditionalFormatting sqref="D11:E11">
    <cfRule type="expression" dxfId="43" priority="143" stopIfTrue="1">
      <formula>#REF!="Yes"</formula>
    </cfRule>
  </conditionalFormatting>
  <conditionalFormatting sqref="D14:E15">
    <cfRule type="expression" dxfId="42" priority="141" stopIfTrue="1">
      <formula>#REF!="Yes"</formula>
    </cfRule>
  </conditionalFormatting>
  <conditionalFormatting sqref="E6:E9">
    <cfRule type="expression" dxfId="41" priority="59" stopIfTrue="1">
      <formula>#REF!="Yes"</formula>
    </cfRule>
  </conditionalFormatting>
  <conditionalFormatting sqref="E12">
    <cfRule type="expression" dxfId="40" priority="58" stopIfTrue="1">
      <formula>#REF!="Yes"</formula>
    </cfRule>
  </conditionalFormatting>
  <conditionalFormatting sqref="E16:E19">
    <cfRule type="expression" dxfId="39" priority="55" stopIfTrue="1">
      <formula>#REF!="Yes"</formula>
    </cfRule>
  </conditionalFormatting>
  <conditionalFormatting sqref="E26">
    <cfRule type="expression" dxfId="38" priority="122" stopIfTrue="1">
      <formula>#REF!="Yes"</formula>
    </cfRule>
  </conditionalFormatting>
  <conditionalFormatting sqref="E31">
    <cfRule type="expression" dxfId="37" priority="121" stopIfTrue="1">
      <formula>#REF!="Yes"</formula>
    </cfRule>
  </conditionalFormatting>
  <conditionalFormatting sqref="E33">
    <cfRule type="expression" dxfId="36" priority="120" stopIfTrue="1">
      <formula>#REF!="Yes"</formula>
    </cfRule>
  </conditionalFormatting>
  <conditionalFormatting sqref="E39">
    <cfRule type="expression" dxfId="35" priority="115" stopIfTrue="1">
      <formula>#REF!="Yes"</formula>
    </cfRule>
  </conditionalFormatting>
  <conditionalFormatting sqref="E41:E44">
    <cfRule type="expression" dxfId="34" priority="114" stopIfTrue="1">
      <formula>#REF!="Yes"</formula>
    </cfRule>
  </conditionalFormatting>
  <conditionalFormatting sqref="E46">
    <cfRule type="expression" dxfId="33" priority="113" stopIfTrue="1">
      <formula>#REF!="Yes"</formula>
    </cfRule>
  </conditionalFormatting>
  <conditionalFormatting sqref="E48">
    <cfRule type="expression" dxfId="32" priority="112" stopIfTrue="1">
      <formula>#REF!="Yes"</formula>
    </cfRule>
  </conditionalFormatting>
  <conditionalFormatting sqref="E50:E52">
    <cfRule type="expression" dxfId="31" priority="110" stopIfTrue="1">
      <formula>#REF!="Yes"</formula>
    </cfRule>
  </conditionalFormatting>
  <conditionalFormatting sqref="E54">
    <cfRule type="expression" dxfId="30" priority="109" stopIfTrue="1">
      <formula>#REF!="Yes"</formula>
    </cfRule>
  </conditionalFormatting>
  <conditionalFormatting sqref="E56">
    <cfRule type="expression" dxfId="29" priority="108" stopIfTrue="1">
      <formula>#REF!="Yes"</formula>
    </cfRule>
  </conditionalFormatting>
  <conditionalFormatting sqref="E58">
    <cfRule type="expression" dxfId="28" priority="107" stopIfTrue="1">
      <formula>#REF!="Yes"</formula>
    </cfRule>
  </conditionalFormatting>
  <conditionalFormatting sqref="E60">
    <cfRule type="expression" dxfId="27" priority="106" stopIfTrue="1">
      <formula>#REF!="Yes"</formula>
    </cfRule>
  </conditionalFormatting>
  <conditionalFormatting sqref="E62">
    <cfRule type="expression" dxfId="26" priority="105" stopIfTrue="1">
      <formula>#REF!="Yes"</formula>
    </cfRule>
  </conditionalFormatting>
  <conditionalFormatting sqref="E64">
    <cfRule type="expression" dxfId="25" priority="104" stopIfTrue="1">
      <formula>#REF!="Yes"</formula>
    </cfRule>
  </conditionalFormatting>
  <conditionalFormatting sqref="E66:E68">
    <cfRule type="expression" dxfId="24" priority="103" stopIfTrue="1">
      <formula>#REF!="Yes"</formula>
    </cfRule>
  </conditionalFormatting>
  <conditionalFormatting sqref="E73">
    <cfRule type="expression" dxfId="23" priority="101" stopIfTrue="1">
      <formula>#REF!="Yes"</formula>
    </cfRule>
  </conditionalFormatting>
  <conditionalFormatting sqref="E78:E80">
    <cfRule type="expression" dxfId="22" priority="98" stopIfTrue="1">
      <formula>#REF!="Yes"</formula>
    </cfRule>
  </conditionalFormatting>
  <conditionalFormatting sqref="E82">
    <cfRule type="expression" dxfId="21" priority="97" stopIfTrue="1">
      <formula>#REF!="Yes"</formula>
    </cfRule>
  </conditionalFormatting>
  <conditionalFormatting sqref="E87">
    <cfRule type="expression" dxfId="20" priority="96" stopIfTrue="1">
      <formula>#REF!="Yes"</formula>
    </cfRule>
  </conditionalFormatting>
  <conditionalFormatting sqref="E89:E90">
    <cfRule type="expression" dxfId="19" priority="19" stopIfTrue="1">
      <formula>#REF!="Yes"</formula>
    </cfRule>
  </conditionalFormatting>
  <conditionalFormatting sqref="E95">
    <cfRule type="expression" dxfId="18" priority="94" stopIfTrue="1">
      <formula>#REF!="Yes"</formula>
    </cfRule>
  </conditionalFormatting>
  <conditionalFormatting sqref="E97">
    <cfRule type="expression" dxfId="17" priority="93" stopIfTrue="1">
      <formula>#REF!="Yes"</formula>
    </cfRule>
  </conditionalFormatting>
  <conditionalFormatting sqref="E99">
    <cfRule type="expression" dxfId="16" priority="92" stopIfTrue="1">
      <formula>#REF!="Yes"</formula>
    </cfRule>
  </conditionalFormatting>
  <conditionalFormatting sqref="E101">
    <cfRule type="expression" dxfId="15" priority="91" stopIfTrue="1">
      <formula>#REF!="Yes"</formula>
    </cfRule>
  </conditionalFormatting>
  <conditionalFormatting sqref="E103:E104">
    <cfRule type="expression" dxfId="14" priority="18" stopIfTrue="1">
      <formula>#REF!="Yes"</formula>
    </cfRule>
  </conditionalFormatting>
  <conditionalFormatting sqref="E106">
    <cfRule type="expression" dxfId="13" priority="89" stopIfTrue="1">
      <formula>#REF!="Yes"</formula>
    </cfRule>
  </conditionalFormatting>
  <conditionalFormatting sqref="E111">
    <cfRule type="expression" dxfId="12" priority="88" stopIfTrue="1">
      <formula>#REF!="Yes"</formula>
    </cfRule>
  </conditionalFormatting>
  <conditionalFormatting sqref="E115">
    <cfRule type="expression" dxfId="11" priority="17" stopIfTrue="1">
      <formula>#REF!="Yes"</formula>
    </cfRule>
  </conditionalFormatting>
  <conditionalFormatting sqref="E117">
    <cfRule type="expression" dxfId="10" priority="85" stopIfTrue="1">
      <formula>#REF!="Yes"</formula>
    </cfRule>
  </conditionalFormatting>
  <conditionalFormatting sqref="E119">
    <cfRule type="expression" dxfId="9" priority="84" stopIfTrue="1">
      <formula>#REF!="Yes"</formula>
    </cfRule>
  </conditionalFormatting>
  <conditionalFormatting sqref="E121">
    <cfRule type="expression" dxfId="8" priority="83" stopIfTrue="1">
      <formula>#REF!="Yes"</formula>
    </cfRule>
  </conditionalFormatting>
  <conditionalFormatting sqref="E123">
    <cfRule type="expression" dxfId="7" priority="82" stopIfTrue="1">
      <formula>#REF!="Yes"</formula>
    </cfRule>
  </conditionalFormatting>
  <conditionalFormatting sqref="E125">
    <cfRule type="expression" dxfId="6" priority="81" stopIfTrue="1">
      <formula>#REF!="Yes"</formula>
    </cfRule>
  </conditionalFormatting>
  <conditionalFormatting sqref="E127">
    <cfRule type="expression" dxfId="5" priority="80" stopIfTrue="1">
      <formula>#REF!="Yes"</formula>
    </cfRule>
  </conditionalFormatting>
  <conditionalFormatting sqref="E129">
    <cfRule type="expression" dxfId="4" priority="79" stopIfTrue="1">
      <formula>#REF!="Yes"</formula>
    </cfRule>
  </conditionalFormatting>
  <conditionalFormatting sqref="E135">
    <cfRule type="expression" dxfId="3" priority="78" stopIfTrue="1">
      <formula>#REF!="Yes"</formula>
    </cfRule>
  </conditionalFormatting>
  <conditionalFormatting sqref="E137">
    <cfRule type="expression" dxfId="2" priority="77" stopIfTrue="1">
      <formula>#REF!="Yes"</formula>
    </cfRule>
  </conditionalFormatting>
  <conditionalFormatting sqref="E139">
    <cfRule type="expression" dxfId="1" priority="76" stopIfTrue="1">
      <formula>#REF!="Yes"</formula>
    </cfRule>
  </conditionalFormatting>
  <conditionalFormatting sqref="E144:E145">
    <cfRule type="expression" dxfId="0" priority="16" stopIfTrue="1">
      <formula>#REF!="Yes"</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Partner Hosted FTR Requirements</vt:lpstr>
      <vt:lpstr>FTR Results Summary</vt:lpstr>
      <vt:lpstr>Explanation</vt:lpstr>
      <vt:lpstr>Supporting Information Required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Dekhtawala, Nisha</cp:lastModifiedBy>
  <dcterms:created xsi:type="dcterms:W3CDTF">2023-01-12T15:34:23Z</dcterms:created>
  <dcterms:modified xsi:type="dcterms:W3CDTF">2026-02-25T23:55:16Z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9eed6f-34eb-4453-9f97-09510b9b219f_Enabled">
    <vt:lpwstr>true</vt:lpwstr>
  </property>
  <property fmtid="{D5CDD505-2E9C-101B-9397-08002B2CF9AE}" pid="3" name="MSIP_Label_929eed6f-34eb-4453-9f97-09510b9b219f_SetDate">
    <vt:lpwstr>2025-06-17T16:17:57Z</vt:lpwstr>
  </property>
  <property fmtid="{D5CDD505-2E9C-101B-9397-08002B2CF9AE}" pid="4" name="MSIP_Label_929eed6f-34eb-4453-9f97-09510b9b219f_Method">
    <vt:lpwstr>Standard</vt:lpwstr>
  </property>
  <property fmtid="{D5CDD505-2E9C-101B-9397-08002B2CF9AE}" pid="5" name="MSIP_Label_929eed6f-34eb-4453-9f97-09510b9b219f_Name">
    <vt:lpwstr>Amazon Pending_Classification</vt:lpwstr>
  </property>
  <property fmtid="{D5CDD505-2E9C-101B-9397-08002B2CF9AE}" pid="6" name="MSIP_Label_929eed6f-34eb-4453-9f97-09510b9b219f_SiteId">
    <vt:lpwstr>5280104a-472d-4538-9ccf-1e1d0efe8b1b</vt:lpwstr>
  </property>
  <property fmtid="{D5CDD505-2E9C-101B-9397-08002B2CF9AE}" pid="7" name="MSIP_Label_929eed6f-34eb-4453-9f97-09510b9b219f_ActionId">
    <vt:lpwstr>6885d583-4014-4e43-a9d4-3b69f6156c44</vt:lpwstr>
  </property>
  <property fmtid="{D5CDD505-2E9C-101B-9397-08002B2CF9AE}" pid="8" name="MSIP_Label_929eed6f-34eb-4453-9f97-09510b9b219f_ContentBits">
    <vt:lpwstr>0</vt:lpwstr>
  </property>
  <property fmtid="{D5CDD505-2E9C-101B-9397-08002B2CF9AE}" pid="9" name="MSIP_Label_929eed6f-34eb-4453-9f97-09510b9b219f_Tag">
    <vt:lpwstr>50, 3, 0, 1</vt:lpwstr>
  </property>
</Properties>
</file>